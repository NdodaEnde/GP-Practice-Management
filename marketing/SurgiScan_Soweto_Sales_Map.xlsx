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uzuko/GP-Practice-Management/marketing/"/>
    </mc:Choice>
  </mc:AlternateContent>
  <xr:revisionPtr revIDLastSave="0" documentId="8_{1BF85B0A-C249-D443-B841-150DCD27FCAD}" xr6:coauthVersionLast="47" xr6:coauthVersionMax="47" xr10:uidLastSave="{00000000-0000-0000-0000-000000000000}"/>
  <bookViews>
    <workbookView xWindow="0" yWindow="600" windowWidth="24440" windowHeight="14500" tabRatio="500" activeTab="1" xr2:uid="{00000000-000D-0000-FFFF-FFFF00000000}"/>
  </bookViews>
  <sheets>
    <sheet name="Doctors" sheetId="1" r:id="rId1"/>
    <sheet name="Suburb Routes" sheetId="2" r:id="rId2"/>
    <sheet name="Summary" sheetId="3" r:id="rId3"/>
    <sheet name="Phone First" sheetId="4" r:id="rId4"/>
  </sheets>
  <definedNames>
    <definedName name="_xlnm._FilterDatabase" localSheetId="0" hidden="1">Doctors!$A$1:$O$52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</calcChain>
</file>

<file path=xl/sharedStrings.xml><?xml version="1.0" encoding="utf-8"?>
<sst xmlns="http://schemas.openxmlformats.org/spreadsheetml/2006/main" count="802" uniqueCount="332">
  <si>
    <t>ID</t>
  </si>
  <si>
    <t>Suburb</t>
  </si>
  <si>
    <t>Practice / Address</t>
  </si>
  <si>
    <t>Doctor</t>
  </si>
  <si>
    <t>Phone</t>
  </si>
  <si>
    <t>Practice No</t>
  </si>
  <si>
    <t>Latitude</t>
  </si>
  <si>
    <t>Longitude</t>
  </si>
  <si>
    <t>Confidence</t>
  </si>
  <si>
    <t>Notes</t>
  </si>
  <si>
    <t>Status</t>
  </si>
  <si>
    <t>Visit Date</t>
  </si>
  <si>
    <t>Outcome</t>
  </si>
  <si>
    <t>Demo Booked?</t>
  </si>
  <si>
    <t>Follow-up Notes</t>
  </si>
  <si>
    <t>298</t>
  </si>
  <si>
    <t>Chiawelo</t>
  </si>
  <si>
    <t>(address missing — phone)</t>
  </si>
  <si>
    <t>Moosa E M</t>
  </si>
  <si>
    <t>1454161</t>
  </si>
  <si>
    <t>missing</t>
  </si>
  <si>
    <t>No address on file — phone for proper address</t>
  </si>
  <si>
    <t>Not contacted</t>
  </si>
  <si>
    <t>156</t>
  </si>
  <si>
    <t>Diepkloof</t>
  </si>
  <si>
    <t>Zone 6 Shop Jgf 1 Black Chain Shopping Centre 28 Cnr Chris Hani Road &amp; Patrick Street</t>
  </si>
  <si>
    <t>Bonginkosi Nhlapo</t>
  </si>
  <si>
    <t>0110365256</t>
  </si>
  <si>
    <t>0544477</t>
  </si>
  <si>
    <t>street</t>
  </si>
  <si>
    <t>Matched landmark: black chain shopping centre</t>
  </si>
  <si>
    <t>147</t>
  </si>
  <si>
    <t>Ext 1493 Phase 2 Camel Crescent</t>
  </si>
  <si>
    <t>Ezekiel Matebula</t>
  </si>
  <si>
    <t>0115280942</t>
  </si>
  <si>
    <t>0139130</t>
  </si>
  <si>
    <t>suburb</t>
  </si>
  <si>
    <t>Suburb centroid; refine when canvassing</t>
  </si>
  <si>
    <t>157</t>
  </si>
  <si>
    <t>Zone 6 24443 Portion 30</t>
  </si>
  <si>
    <t>George Koboka</t>
  </si>
  <si>
    <t>0119854580</t>
  </si>
  <si>
    <t>0074624</t>
  </si>
  <si>
    <t>zone</t>
  </si>
  <si>
    <t>Matched Zone 6 in Diepkloof</t>
  </si>
  <si>
    <t>14</t>
  </si>
  <si>
    <t>2389 ZONE 6 DIEPKLOOF 1864</t>
  </si>
  <si>
    <t>JAMES SITHOLE</t>
  </si>
  <si>
    <t>0114761041</t>
  </si>
  <si>
    <t>0697870</t>
  </si>
  <si>
    <t>152</t>
  </si>
  <si>
    <t>Zone 2 Site 7604B Cnr Ben Naude &amp; Marthinus Smuts Drive</t>
  </si>
  <si>
    <t>Jacob Thobane</t>
  </si>
  <si>
    <t>0119858627</t>
  </si>
  <si>
    <t>0082120</t>
  </si>
  <si>
    <t>Matched Zone 2 in Diepkloof</t>
  </si>
  <si>
    <t>17</t>
  </si>
  <si>
    <t>SHOP 5 DIEPKLOOF SHOPPING CENTRE 1864</t>
  </si>
  <si>
    <t>KGOPOTSO MOILOA</t>
  </si>
  <si>
    <t>0114762082</t>
  </si>
  <si>
    <t>0454597</t>
  </si>
  <si>
    <t>Matched landmark: diepkloof shopping centre</t>
  </si>
  <si>
    <t>155</t>
  </si>
  <si>
    <t>Zone 4 17 Montoeli Street</t>
  </si>
  <si>
    <t>Kenneth Ntimane</t>
  </si>
  <si>
    <t>0878066096</t>
  </si>
  <si>
    <t>1474413</t>
  </si>
  <si>
    <t>Matched Zone 4 in Diepkloof</t>
  </si>
  <si>
    <t>158</t>
  </si>
  <si>
    <t>Zone 6 House 8103A</t>
  </si>
  <si>
    <t>Maryline Matlhare</t>
  </si>
  <si>
    <t>0119381528</t>
  </si>
  <si>
    <t>0190861</t>
  </si>
  <si>
    <t>148</t>
  </si>
  <si>
    <t>Mfundo Kuhlase</t>
  </si>
  <si>
    <t>0353051</t>
  </si>
  <si>
    <t>150</t>
  </si>
  <si>
    <t>Sone 4 45 Martinus/ Rustenburg Road</t>
  </si>
  <si>
    <t>Ramatsimana Moumakwa</t>
  </si>
  <si>
    <t>0219136660</t>
  </si>
  <si>
    <t>0492647</t>
  </si>
  <si>
    <t>160</t>
  </si>
  <si>
    <t>Zone 6</t>
  </si>
  <si>
    <t>Sk Matseke Memorial Hospital 23967 Chris Hani Road Dr Tracey Moumi</t>
  </si>
  <si>
    <t>0789489991</t>
  </si>
  <si>
    <t>1051369</t>
  </si>
  <si>
    <t>161</t>
  </si>
  <si>
    <t>Sk Matseke Memorial Hospital 23967 Chris Hani Road Dr Zanele Kubheka</t>
  </si>
  <si>
    <t>0119335000</t>
  </si>
  <si>
    <t>1586521</t>
  </si>
  <si>
    <t>153</t>
  </si>
  <si>
    <t>Zone 3 15779 Eben Cuyler Drive</t>
  </si>
  <si>
    <t>Smangaliso I Sibisi</t>
  </si>
  <si>
    <t>0710892795</t>
  </si>
  <si>
    <t>1077031</t>
  </si>
  <si>
    <t>Matched Zone 3 in Diepkloof</t>
  </si>
  <si>
    <t>151</t>
  </si>
  <si>
    <t>Zone 1 15997 Eben Cuyler Drive</t>
  </si>
  <si>
    <t>Stuart Mbatsana</t>
  </si>
  <si>
    <t>0101097011</t>
  </si>
  <si>
    <t>1467875</t>
  </si>
  <si>
    <t>Matched Zone 1 in Diepkloof</t>
  </si>
  <si>
    <t>159</t>
  </si>
  <si>
    <t>Zone 6 8112 Patrick Street</t>
  </si>
  <si>
    <t>Tendani Mulaudzi</t>
  </si>
  <si>
    <t>0119332121</t>
  </si>
  <si>
    <t>1561065</t>
  </si>
  <si>
    <t>154</t>
  </si>
  <si>
    <t>Zone 3 Shop L05 Lower Level Diepkloof Square Mall Immink Street</t>
  </si>
  <si>
    <t>Thabile Vezi</t>
  </si>
  <si>
    <t>0115280480</t>
  </si>
  <si>
    <t>0151076</t>
  </si>
  <si>
    <t>Matched landmark: diepkloof square mall</t>
  </si>
  <si>
    <t>149</t>
  </si>
  <si>
    <t>Tsitsi Shenje</t>
  </si>
  <si>
    <t>0678279</t>
  </si>
  <si>
    <t>168</t>
  </si>
  <si>
    <t>Dobsonville</t>
  </si>
  <si>
    <t>Ext 3 First Care Medical Centre 9350 Cnr Manetsi &amp; Kaimane Street</t>
  </si>
  <si>
    <t>Absolom Mabaso</t>
  </si>
  <si>
    <t>0119342554</t>
  </si>
  <si>
    <t>1503367</t>
  </si>
  <si>
    <t>Matched landmark: first care medical centre</t>
  </si>
  <si>
    <t>167</t>
  </si>
  <si>
    <t>Ext 3 10739 Monametsi Street</t>
  </si>
  <si>
    <t>David Mashigo</t>
  </si>
  <si>
    <t>0119347843</t>
  </si>
  <si>
    <t>1404644</t>
  </si>
  <si>
    <t>166</t>
  </si>
  <si>
    <t>Ext 2 8157 Steve Kgane Street</t>
  </si>
  <si>
    <t>Keith Makenete</t>
  </si>
  <si>
    <t>0119884220</t>
  </si>
  <si>
    <t>1508555</t>
  </si>
  <si>
    <t>169</t>
  </si>
  <si>
    <t>Doornkop</t>
  </si>
  <si>
    <t>House 2358 Doornkop Groundside</t>
  </si>
  <si>
    <t>Andile Tshabalala</t>
  </si>
  <si>
    <t>0119516000</t>
  </si>
  <si>
    <t>0955507</t>
  </si>
  <si>
    <t>170</t>
  </si>
  <si>
    <t>No.2358 House Doornkop Groundside</t>
  </si>
  <si>
    <t>Thulani Hadebe</t>
  </si>
  <si>
    <t>0119310075</t>
  </si>
  <si>
    <t>0712469</t>
  </si>
  <si>
    <t>174</t>
  </si>
  <si>
    <t>Dube</t>
  </si>
  <si>
    <t>2413</t>
  </si>
  <si>
    <t>Cnr Mahalefele Road &amp; Mncube Drive Ringane &amp; Associates Inc</t>
  </si>
  <si>
    <t>0119821124</t>
  </si>
  <si>
    <t>0472425</t>
  </si>
  <si>
    <t>171</t>
  </si>
  <si>
    <t>42 Mehlomakulu Street</t>
  </si>
  <si>
    <t>Godfrey Vilakazi</t>
  </si>
  <si>
    <t>0123483567</t>
  </si>
  <si>
    <t>0763551</t>
  </si>
  <si>
    <t>172</t>
  </si>
  <si>
    <t>Dube Station 425 Mahalefele Road</t>
  </si>
  <si>
    <t>Naresh Daya</t>
  </si>
  <si>
    <t>0119822809</t>
  </si>
  <si>
    <t>1460080</t>
  </si>
  <si>
    <t>Matched landmark: dube station</t>
  </si>
  <si>
    <t>175</t>
  </si>
  <si>
    <t>2413 Cnr Mahalefele Road &amp; Mncube Drive</t>
  </si>
  <si>
    <t>Nkateko Ringane</t>
  </si>
  <si>
    <t>0119825375</t>
  </si>
  <si>
    <t>0266566</t>
  </si>
  <si>
    <t>173</t>
  </si>
  <si>
    <t>Steven Mofomme</t>
  </si>
  <si>
    <t>0208914</t>
  </si>
  <si>
    <t>299</t>
  </si>
  <si>
    <t>Jabulani</t>
  </si>
  <si>
    <t>Pooe J W</t>
  </si>
  <si>
    <t>1463462</t>
  </si>
  <si>
    <t>1</t>
  </si>
  <si>
    <t>Mapetla</t>
  </si>
  <si>
    <t>SHOP 1 1 MAPETLA DRIVE MAPETLA 1832</t>
  </si>
  <si>
    <t>ABIOS MATLALA</t>
  </si>
  <si>
    <t>0119831024</t>
  </si>
  <si>
    <t>0452543</t>
  </si>
  <si>
    <t>15</t>
  </si>
  <si>
    <t>Meadowlands</t>
  </si>
  <si>
    <t>2 MOLAPO STREET MEADOWLANDS 1852</t>
  </si>
  <si>
    <t>JOSEPH MMAKOLA</t>
  </si>
  <si>
    <t>0113664561</t>
  </si>
  <si>
    <t>0698144</t>
  </si>
  <si>
    <t>19</t>
  </si>
  <si>
    <t>2 MOLAPO STREET MEADOWLANDS ZONE 1 1852</t>
  </si>
  <si>
    <t>LERATO MOFOKENG</t>
  </si>
  <si>
    <t>0677665</t>
  </si>
  <si>
    <t>300</t>
  </si>
  <si>
    <t>Meadowlands East</t>
  </si>
  <si>
    <t>Jivhuho L S</t>
  </si>
  <si>
    <t>1547852</t>
  </si>
  <si>
    <t>301</t>
  </si>
  <si>
    <t>Nkosi E</t>
  </si>
  <si>
    <t>1409158</t>
  </si>
  <si>
    <t>178</t>
  </si>
  <si>
    <t>Mofolo</t>
  </si>
  <si>
    <t>South Khazimula Centre 353 Elias Motsoaledi Road</t>
  </si>
  <si>
    <t>Dan Mavuya</t>
  </si>
  <si>
    <t>0114824844</t>
  </si>
  <si>
    <t>1480375</t>
  </si>
  <si>
    <t>176</t>
  </si>
  <si>
    <t>North 734-4 Makhubelo Street</t>
  </si>
  <si>
    <t>Ndumiso Makhunga</t>
  </si>
  <si>
    <t>0119886245</t>
  </si>
  <si>
    <t>1450182</t>
  </si>
  <si>
    <t>177</t>
  </si>
  <si>
    <t>North 72 Cnr Mkhize Street &amp; Mmila Road</t>
  </si>
  <si>
    <t>Thabiso Mmoledi</t>
  </si>
  <si>
    <t>0119882307</t>
  </si>
  <si>
    <t>0145785</t>
  </si>
  <si>
    <t>5</t>
  </si>
  <si>
    <t>Mofolo North</t>
  </si>
  <si>
    <t>1 NTSHEBO STREET MOFOLO NORTH 1862</t>
  </si>
  <si>
    <t>CHARLES DLAMINI</t>
  </si>
  <si>
    <t>0118081188</t>
  </si>
  <si>
    <t>0695960</t>
  </si>
  <si>
    <t>2</t>
  </si>
  <si>
    <t>Moletsane</t>
  </si>
  <si>
    <t>STAND 12A MOLETSANE EXT 1 1868</t>
  </si>
  <si>
    <t>BARNARD NGCOBO</t>
  </si>
  <si>
    <t>0117391501</t>
  </si>
  <si>
    <t>0355437</t>
  </si>
  <si>
    <t>9</t>
  </si>
  <si>
    <t>Mzimhlophe</t>
  </si>
  <si>
    <t>7 HLATSHANENI STREET MZIMHLOPHE 1818</t>
  </si>
  <si>
    <t>FEZIWE MOTSEPE</t>
  </si>
  <si>
    <t>0113611165</t>
  </si>
  <si>
    <t>0648060</t>
  </si>
  <si>
    <t>4</t>
  </si>
  <si>
    <t>Naledi</t>
  </si>
  <si>
    <t>SHOP 6 NALEDI CENTRE NALEDI 1836</t>
  </si>
  <si>
    <t>BONISIWE SITHOLE</t>
  </si>
  <si>
    <t>0117340278</t>
  </si>
  <si>
    <t>0452578</t>
  </si>
  <si>
    <t>Matched landmark: naledi centre</t>
  </si>
  <si>
    <t>16</t>
  </si>
  <si>
    <t>STAND 6286 NALEDI EXT 1 1836</t>
  </si>
  <si>
    <t>JOSEPH SIBISI</t>
  </si>
  <si>
    <t>0117351044</t>
  </si>
  <si>
    <t>0698019</t>
  </si>
  <si>
    <t>18</t>
  </si>
  <si>
    <t>Phiri</t>
  </si>
  <si>
    <t>STAND 354 PHIRI 1864</t>
  </si>
  <si>
    <t>KNOWLEDGE DLAMINI</t>
  </si>
  <si>
    <t>0118371070</t>
  </si>
  <si>
    <t>0451729</t>
  </si>
  <si>
    <t>302</t>
  </si>
  <si>
    <t>Pimville</t>
  </si>
  <si>
    <t>Motjuwadi U T</t>
  </si>
  <si>
    <t>1408097</t>
  </si>
  <si>
    <t>8</t>
  </si>
  <si>
    <t>Protea Glen</t>
  </si>
  <si>
    <t>STAND 2122 PROTEA GLEN EXT 11 1819</t>
  </si>
  <si>
    <t>ELIAS NKOSI</t>
  </si>
  <si>
    <t>0112788058</t>
  </si>
  <si>
    <t>0284608</t>
  </si>
  <si>
    <t>13</t>
  </si>
  <si>
    <t>Protea North</t>
  </si>
  <si>
    <t>SHOP 2 EXT 1 PROTEA NORTH 1819</t>
  </si>
  <si>
    <t>HELEN NTULI</t>
  </si>
  <si>
    <t>0117692100</t>
  </si>
  <si>
    <t>0454720</t>
  </si>
  <si>
    <t>3</t>
  </si>
  <si>
    <t>SOWETO</t>
  </si>
  <si>
    <t>CNR ELIAS MOTSOALEDI &amp; MSHENGU STREET CHIAWELO 1818</t>
  </si>
  <si>
    <t>BONGINKOSI MADLALA</t>
  </si>
  <si>
    <t>0113612064</t>
  </si>
  <si>
    <t>0695994</t>
  </si>
  <si>
    <t>Parsed suburb from address: Chiawelo</t>
  </si>
  <si>
    <t>6</t>
  </si>
  <si>
    <t>SHOP 5 CORNER MALL 1836</t>
  </si>
  <si>
    <t>CYNTHIA MOLEFI</t>
  </si>
  <si>
    <t>0117351252</t>
  </si>
  <si>
    <t>0694721</t>
  </si>
  <si>
    <t>Matched landmark: corner mall</t>
  </si>
  <si>
    <t>10</t>
  </si>
  <si>
    <t>SHOP 15 BARAGWANATH TAXI RANK ZONE 7 1818</t>
  </si>
  <si>
    <t>GODFREY MAKANGILA</t>
  </si>
  <si>
    <t>0672889</t>
  </si>
  <si>
    <t>Matched landmark: baragwanath taxi rank</t>
  </si>
  <si>
    <t>11</t>
  </si>
  <si>
    <t>SHOP 3 WHITE CITY CENTRE JABAVU ROAD 1858</t>
  </si>
  <si>
    <t>GRACE SITHOLE</t>
  </si>
  <si>
    <t>0118381038</t>
  </si>
  <si>
    <t>0649268</t>
  </si>
  <si>
    <t>Matched landmark: white city centre</t>
  </si>
  <si>
    <t>20</t>
  </si>
  <si>
    <t>1 MTHEMBU STREET SENAOANE 1809</t>
  </si>
  <si>
    <t>LINDIWE KHUMALO</t>
  </si>
  <si>
    <t>0118391004</t>
  </si>
  <si>
    <t>0697764</t>
  </si>
  <si>
    <t>Parsed suburb from address: Senaoane</t>
  </si>
  <si>
    <t>Door-to-Door Route Plan</t>
  </si>
  <si>
    <t>Suburbs grouped into half-day clusters. Routes are ordered for efficient walking/driving within each cluster.</t>
  </si>
  <si>
    <t>DAY 1 MORNING — Diepkloof Zones 1-3</t>
  </si>
  <si>
    <t>Diepkloof Square Mall is in Zone 3 (cluster hub). Park there, walk Zones 1-2 first, finish at the mall.</t>
  </si>
  <si>
    <t>#</t>
  </si>
  <si>
    <t>Address</t>
  </si>
  <si>
    <t>✓</t>
  </si>
  <si>
    <t>DAY 1 AFTERNOON — Diepkloof Zones 4-6</t>
  </si>
  <si>
    <t>Heaviest cluster (8+ doctors). SK Matseke Memorial Hospital and Black Chain Shopping Centre are landmarks. Start with the hospital (2 doctors in one stop).</t>
  </si>
  <si>
    <t>DAY 1 AFTERNOON (overflow) — Diepkloof shopping centre + un-zoned</t>
  </si>
  <si>
    <t>Diepkloof Shopping Centre (Zone unspecified) — quick stop.</t>
  </si>
  <si>
    <t>DAY 2 MORNING — Meadowlands + Mzimhlophe + Dube</t>
  </si>
  <si>
    <t>Tight north-eastern cluster. 2 Molapo Street has 2 doctors — single stop. Dube has 3 doctors at one Mahalefele Road location.</t>
  </si>
  <si>
    <t>(needs phone follow-up)</t>
  </si>
  <si>
    <t>—</t>
  </si>
  <si>
    <t>DAY 2 AFTERNOON — Mofolo + Jabulani + Pimville</t>
  </si>
  <si>
    <t>Central Soweto cluster. Mofolo + Mofolo North are adjacent. Jabulani and Pimville need phone-confirmed addresses before visiting.</t>
  </si>
  <si>
    <t>DAY 3 MORNING — Dobsonville + Doornkop</t>
  </si>
  <si>
    <t>Western Soweto cluster. First Care Medical Centre is the anchor. Doornkop is small — 2 doctors at the same address (No.2358).</t>
  </si>
  <si>
    <t>DAY 3 AFTERNOON — Naledi + Mapetla + Moletsane + Phiri + Senaoane</t>
  </si>
  <si>
    <t>South-western cluster. Naledi Centre and Corner Mall are walking distance. Plan for ~6 doctors in 4 hours.</t>
  </si>
  <si>
    <t>DAY 4 MORNING — Protea Glen + Protea North</t>
  </si>
  <si>
    <t>Far-western cluster. Only 2 doctors — combine with Chiawelo if time.</t>
  </si>
  <si>
    <t>DAY 4 AFTERNOON — Chiawelo + un-suburbed SOWETO</t>
  </si>
  <si>
    <t>Mixed cluster — White City Centre, Baragwanath Taxi Rank, Chiawelo, Senaoane. Use this as the end-of-week catch-up day for anyone missed.</t>
  </si>
  <si>
    <t>Soweto GP Sales Drive — Summary</t>
  </si>
  <si>
    <t>Total prospects</t>
  </si>
  <si>
    <t>Geocoding Confidence Breakdown</t>
  </si>
  <si>
    <t>Street-level (landmark / named site)</t>
  </si>
  <si>
    <t>Zone-level (Diepkloof zones / parsed sub-area)</t>
  </si>
  <si>
    <t>Suburb centroid only</t>
  </si>
  <si>
    <t>Address missing — phone for proper address</t>
  </si>
  <si>
    <t>TOTAL</t>
  </si>
  <si>
    <t>Doctors by Suburb</t>
  </si>
  <si>
    <t>Doctors who need a phone call BEFORE visiting</t>
  </si>
  <si>
    <t>Address is incomplete on the source list. Call them, confirm practice address, and update the Doctors sheet.</t>
  </si>
  <si>
    <t>Confirmed Address</t>
  </si>
  <si>
    <t>(no phone on file — practice number search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</si>
</sst>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B5A3F"/>
      <name val="Calibri"/>
      <family val="2"/>
    </font>
    <font>
      <b/>
      <sz val="18"/>
      <color rgb="FF0B2545"/>
      <name val="Calibri"/>
      <family val="2"/>
    </font>
    <font>
      <i/>
      <sz val="11"/>
      <color rgb="FF606870"/>
      <name val="Calibri"/>
      <family val="2"/>
    </font>
    <font>
      <b/>
      <sz val="12"/>
      <color rgb="FFFFFFFF"/>
      <name val="Calibri"/>
      <family val="2"/>
    </font>
    <font>
      <i/>
      <sz val="10"/>
      <color rgb="FF606870"/>
      <name val="Calibri"/>
      <family val="2"/>
    </font>
    <font>
      <b/>
      <sz val="10"/>
      <color rgb="FF0B2545"/>
      <name val="Calibri"/>
      <family val="2"/>
    </font>
    <font>
      <b/>
      <sz val="20"/>
      <color rgb="FF0B2545"/>
      <name val="Calibri"/>
      <family val="2"/>
    </font>
    <font>
      <b/>
      <sz val="12"/>
      <color rgb="FF0B2545"/>
      <name val="Calibri"/>
      <family val="2"/>
    </font>
    <font>
      <b/>
      <sz val="16"/>
      <color rgb="FFB45309"/>
      <name val="Calibri"/>
      <family val="2"/>
    </font>
    <font>
      <sz val="12"/>
      <name val="Calibri"/>
      <family val="2"/>
    </font>
    <font>
      <b/>
      <sz val="12"/>
      <color rgb="FF0B5A3F"/>
      <name val="Calibri"/>
      <family val="2"/>
    </font>
    <font>
      <sz val="12"/>
      <color theme="1"/>
      <name val="Calibri"/>
      <family val="2"/>
    </font>
    <font>
      <b/>
      <sz val="12"/>
      <color rgb="FFB45309"/>
      <name val="Calibri"/>
      <family val="2"/>
    </font>
    <font>
      <b/>
      <sz val="12"/>
      <name val="Calibri"/>
      <family val="2"/>
    </font>
    <font>
      <b/>
      <sz val="12"/>
      <color rgb="FF13767A"/>
      <name val="Calibri"/>
      <family val="2"/>
    </font>
    <font>
      <i/>
      <sz val="12"/>
      <color rgb="FF60687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DECEA"/>
        <bgColor rgb="FFFFF7E6"/>
      </patternFill>
    </fill>
    <fill>
      <patternFill patternType="solid">
        <fgColor rgb="FFF4F6F8"/>
        <bgColor rgb="FFE6F2F2"/>
      </patternFill>
    </fill>
    <fill>
      <patternFill patternType="solid">
        <fgColor rgb="FFE6F4EA"/>
        <bgColor rgb="FFE6F2F2"/>
      </patternFill>
    </fill>
    <fill>
      <patternFill patternType="solid">
        <fgColor rgb="FFFFF7E6"/>
        <bgColor rgb="FFF4F6F8"/>
      </patternFill>
    </fill>
    <fill>
      <patternFill patternType="solid">
        <fgColor rgb="FFE6F2F2"/>
        <bgColor rgb="FFE6F4EA"/>
      </patternFill>
    </fill>
    <fill>
      <patternFill patternType="solid">
        <fgColor rgb="FFB45309"/>
        <bgColor rgb="FF99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13767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0" borderId="0" xfId="0" applyFont="1"/>
    <xf numFmtId="0" fontId="7" fillId="0" borderId="0" xfId="0" applyFont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indent="1"/>
    </xf>
    <xf numFmtId="0" fontId="5" fillId="0" borderId="0" xfId="0" applyFont="1"/>
    <xf numFmtId="0" fontId="4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8" fillId="7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0" borderId="0" xfId="0" applyFont="1"/>
    <xf numFmtId="0" fontId="15" fillId="3" borderId="0" xfId="0" applyFont="1" applyFill="1" applyAlignment="1">
      <alignment vertical="center" wrapText="1"/>
    </xf>
    <xf numFmtId="0" fontId="16" fillId="0" borderId="0" xfId="0" applyFont="1"/>
    <xf numFmtId="0" fontId="17" fillId="0" borderId="0" xfId="0" applyFont="1"/>
    <xf numFmtId="0" fontId="12" fillId="0" borderId="0" xfId="0" applyFont="1"/>
    <xf numFmtId="0" fontId="16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8" fillId="0" borderId="0" xfId="0" applyFont="1"/>
    <xf numFmtId="0" fontId="6" fillId="8" borderId="0" xfId="0" applyFont="1" applyFill="1" applyAlignment="1">
      <alignment horizontal="left" vertical="center" indent="1"/>
    </xf>
    <xf numFmtId="0" fontId="1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A3F"/>
      <rgbColor rgb="FF000080"/>
      <rgbColor rgb="FF808000"/>
      <rgbColor rgb="FF800080"/>
      <rgbColor rgb="FF13767A"/>
      <rgbColor rgb="FFC0C0C0"/>
      <rgbColor rgb="FF808080"/>
      <rgbColor rgb="FF9999FF"/>
      <rgbColor rgb="FF993366"/>
      <rgbColor rgb="FFFFF7E6"/>
      <rgbColor rgb="FFE6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F4F6F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870"/>
      <rgbColor rgb="FF969696"/>
      <rgbColor rgb="FF0B2545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zoomScaleNormal="100" workbookViewId="0">
      <pane ySplit="1" topLeftCell="A47" activePane="bottomLeft" state="frozen"/>
      <selection pane="bottomLeft" activeCell="J59" sqref="J59"/>
    </sheetView>
  </sheetViews>
  <sheetFormatPr baseColWidth="10" defaultColWidth="8.6640625" defaultRowHeight="15" x14ac:dyDescent="0.2"/>
  <cols>
    <col min="1" max="1" width="6" customWidth="1"/>
    <col min="2" max="2" width="12.6640625" bestFit="1" customWidth="1"/>
    <col min="3" max="3" width="44.1640625" bestFit="1" customWidth="1"/>
    <col min="4" max="4" width="27.6640625" bestFit="1" customWidth="1"/>
    <col min="5" max="5" width="11.1640625" bestFit="1" customWidth="1"/>
    <col min="6" max="6" width="12.5" bestFit="1" customWidth="1"/>
    <col min="7" max="7" width="10.1640625" bestFit="1" customWidth="1"/>
    <col min="8" max="8" width="11.5" bestFit="1" customWidth="1"/>
    <col min="9" max="9" width="12.5" bestFit="1" customWidth="1"/>
    <col min="10" max="10" width="28.83203125" bestFit="1" customWidth="1"/>
    <col min="11" max="11" width="14" customWidth="1"/>
    <col min="12" max="12" width="12" customWidth="1"/>
    <col min="13" max="13" width="22" customWidth="1"/>
    <col min="14" max="14" width="12" customWidth="1"/>
    <col min="15" max="15" width="35" customWidth="1"/>
  </cols>
  <sheetData>
    <row r="1" spans="1:15" ht="31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34" x14ac:dyDescent="0.2">
      <c r="A2" s="13" t="s">
        <v>15</v>
      </c>
      <c r="B2" s="13" t="s">
        <v>16</v>
      </c>
      <c r="C2" s="13" t="s">
        <v>17</v>
      </c>
      <c r="D2" s="13" t="s">
        <v>18</v>
      </c>
      <c r="E2" s="13"/>
      <c r="F2" s="13" t="s">
        <v>19</v>
      </c>
      <c r="G2" s="13">
        <v>-26.2742</v>
      </c>
      <c r="H2" s="13">
        <v>27.873100000000001</v>
      </c>
      <c r="I2" s="17" t="s">
        <v>20</v>
      </c>
      <c r="J2" s="13" t="s">
        <v>21</v>
      </c>
      <c r="K2" s="26" t="s">
        <v>22</v>
      </c>
      <c r="L2" s="7"/>
      <c r="M2" s="7"/>
      <c r="N2" s="7"/>
      <c r="O2" s="7"/>
    </row>
    <row r="3" spans="1:15" ht="34" x14ac:dyDescent="0.2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>
        <v>-26.253599999999999</v>
      </c>
      <c r="H3" s="13">
        <v>27.940300000000001</v>
      </c>
      <c r="I3" s="14" t="s">
        <v>29</v>
      </c>
      <c r="J3" s="13" t="s">
        <v>30</v>
      </c>
      <c r="K3" s="26" t="s">
        <v>22</v>
      </c>
      <c r="L3" s="7"/>
      <c r="M3" s="7"/>
      <c r="N3" s="7"/>
      <c r="O3" s="7"/>
    </row>
    <row r="4" spans="1:15" ht="34" x14ac:dyDescent="0.2">
      <c r="A4" s="13" t="s">
        <v>31</v>
      </c>
      <c r="B4" s="13" t="s">
        <v>24</v>
      </c>
      <c r="C4" s="13" t="s">
        <v>32</v>
      </c>
      <c r="D4" s="13" t="s">
        <v>33</v>
      </c>
      <c r="E4" s="13" t="s">
        <v>34</v>
      </c>
      <c r="F4" s="13" t="s">
        <v>35</v>
      </c>
      <c r="G4" s="13">
        <v>-26.24765</v>
      </c>
      <c r="H4" s="13">
        <v>27.9453</v>
      </c>
      <c r="I4" s="15" t="s">
        <v>36</v>
      </c>
      <c r="J4" s="13" t="s">
        <v>37</v>
      </c>
      <c r="K4" s="26" t="s">
        <v>22</v>
      </c>
      <c r="L4" s="7"/>
      <c r="M4" s="7"/>
      <c r="N4" s="7"/>
      <c r="O4" s="7"/>
    </row>
    <row r="5" spans="1:15" ht="17" x14ac:dyDescent="0.2">
      <c r="A5" s="13" t="s">
        <v>38</v>
      </c>
      <c r="B5" s="13" t="s">
        <v>24</v>
      </c>
      <c r="C5" s="13" t="s">
        <v>39</v>
      </c>
      <c r="D5" s="13" t="s">
        <v>40</v>
      </c>
      <c r="E5" s="13" t="s">
        <v>41</v>
      </c>
      <c r="F5" s="13" t="s">
        <v>42</v>
      </c>
      <c r="G5" s="13">
        <v>-26.253990000000002</v>
      </c>
      <c r="H5" s="13">
        <v>27.94125</v>
      </c>
      <c r="I5" s="14" t="s">
        <v>43</v>
      </c>
      <c r="J5" s="13" t="s">
        <v>44</v>
      </c>
      <c r="K5" s="26" t="s">
        <v>22</v>
      </c>
      <c r="L5" s="7"/>
      <c r="M5" s="7"/>
      <c r="N5" s="7"/>
      <c r="O5" s="7"/>
    </row>
    <row r="6" spans="1:15" ht="17" x14ac:dyDescent="0.2">
      <c r="A6" s="13" t="s">
        <v>45</v>
      </c>
      <c r="B6" s="13" t="s">
        <v>24</v>
      </c>
      <c r="C6" s="13" t="s">
        <v>46</v>
      </c>
      <c r="D6" s="13" t="s">
        <v>47</v>
      </c>
      <c r="E6" s="13" t="s">
        <v>48</v>
      </c>
      <c r="F6" s="13" t="s">
        <v>49</v>
      </c>
      <c r="G6" s="13">
        <v>-26.254049999999999</v>
      </c>
      <c r="H6" s="13">
        <v>27.941579999999998</v>
      </c>
      <c r="I6" s="14" t="s">
        <v>43</v>
      </c>
      <c r="J6" s="13" t="s">
        <v>44</v>
      </c>
      <c r="K6" s="26" t="s">
        <v>22</v>
      </c>
      <c r="L6" s="7"/>
      <c r="M6" s="7"/>
      <c r="N6" s="7"/>
      <c r="O6" s="7"/>
    </row>
    <row r="7" spans="1:15" ht="34" x14ac:dyDescent="0.2">
      <c r="A7" s="13" t="s">
        <v>50</v>
      </c>
      <c r="B7" s="13" t="s">
        <v>24</v>
      </c>
      <c r="C7" s="13" t="s">
        <v>51</v>
      </c>
      <c r="D7" s="13" t="s">
        <v>52</v>
      </c>
      <c r="E7" s="13" t="s">
        <v>53</v>
      </c>
      <c r="F7" s="13" t="s">
        <v>54</v>
      </c>
      <c r="G7" s="13">
        <v>-26.241579999999999</v>
      </c>
      <c r="H7" s="13">
        <v>27.945060000000002</v>
      </c>
      <c r="I7" s="14" t="s">
        <v>43</v>
      </c>
      <c r="J7" s="13" t="s">
        <v>55</v>
      </c>
      <c r="K7" s="26" t="s">
        <v>22</v>
      </c>
      <c r="L7" s="7"/>
      <c r="M7" s="7"/>
      <c r="N7" s="7"/>
      <c r="O7" s="7"/>
    </row>
    <row r="8" spans="1:15" ht="34" x14ac:dyDescent="0.2">
      <c r="A8" s="13" t="s">
        <v>56</v>
      </c>
      <c r="B8" s="13" t="s">
        <v>24</v>
      </c>
      <c r="C8" s="13" t="s">
        <v>57</v>
      </c>
      <c r="D8" s="13" t="s">
        <v>58</v>
      </c>
      <c r="E8" s="13" t="s">
        <v>59</v>
      </c>
      <c r="F8" s="13" t="s">
        <v>60</v>
      </c>
      <c r="G8" s="13">
        <v>-26.246099999999998</v>
      </c>
      <c r="H8" s="13">
        <v>27.944700000000001</v>
      </c>
      <c r="I8" s="14" t="s">
        <v>29</v>
      </c>
      <c r="J8" s="13" t="s">
        <v>61</v>
      </c>
      <c r="K8" s="26" t="s">
        <v>22</v>
      </c>
      <c r="L8" s="7"/>
      <c r="M8" s="7"/>
      <c r="N8" s="7"/>
      <c r="O8" s="7"/>
    </row>
    <row r="9" spans="1:15" ht="17" x14ac:dyDescent="0.2">
      <c r="A9" s="13" t="s">
        <v>62</v>
      </c>
      <c r="B9" s="13" t="s">
        <v>24</v>
      </c>
      <c r="C9" s="13" t="s">
        <v>63</v>
      </c>
      <c r="D9" s="13" t="s">
        <v>64</v>
      </c>
      <c r="E9" s="13" t="s">
        <v>65</v>
      </c>
      <c r="F9" s="13" t="s">
        <v>66</v>
      </c>
      <c r="G9" s="13">
        <v>-26.248750000000001</v>
      </c>
      <c r="H9" s="13">
        <v>27.949290000000001</v>
      </c>
      <c r="I9" s="14" t="s">
        <v>43</v>
      </c>
      <c r="J9" s="13" t="s">
        <v>67</v>
      </c>
      <c r="K9" s="26" t="s">
        <v>22</v>
      </c>
      <c r="L9" s="7"/>
      <c r="M9" s="7"/>
      <c r="N9" s="7"/>
      <c r="O9" s="7"/>
    </row>
    <row r="10" spans="1:15" ht="17" x14ac:dyDescent="0.2">
      <c r="A10" s="13" t="s">
        <v>68</v>
      </c>
      <c r="B10" s="13" t="s">
        <v>24</v>
      </c>
      <c r="C10" s="13" t="s">
        <v>69</v>
      </c>
      <c r="D10" s="13" t="s">
        <v>70</v>
      </c>
      <c r="E10" s="13" t="s">
        <v>71</v>
      </c>
      <c r="F10" s="13" t="s">
        <v>72</v>
      </c>
      <c r="G10" s="13">
        <v>-26.254169999999998</v>
      </c>
      <c r="H10" s="13">
        <v>27.941549999999999</v>
      </c>
      <c r="I10" s="14" t="s">
        <v>43</v>
      </c>
      <c r="J10" s="13" t="s">
        <v>44</v>
      </c>
      <c r="K10" s="26" t="s">
        <v>22</v>
      </c>
      <c r="L10" s="7"/>
      <c r="M10" s="7"/>
      <c r="N10" s="7"/>
      <c r="O10" s="7"/>
    </row>
    <row r="11" spans="1:15" ht="34" x14ac:dyDescent="0.2">
      <c r="A11" s="13" t="s">
        <v>73</v>
      </c>
      <c r="B11" s="13" t="s">
        <v>24</v>
      </c>
      <c r="C11" s="13" t="s">
        <v>32</v>
      </c>
      <c r="D11" s="13" t="s">
        <v>74</v>
      </c>
      <c r="E11" s="13" t="s">
        <v>34</v>
      </c>
      <c r="F11" s="13" t="s">
        <v>75</v>
      </c>
      <c r="G11" s="13">
        <v>-26.24765</v>
      </c>
      <c r="H11" s="13">
        <v>27.9453</v>
      </c>
      <c r="I11" s="15" t="s">
        <v>36</v>
      </c>
      <c r="J11" s="13" t="s">
        <v>37</v>
      </c>
      <c r="K11" s="26" t="s">
        <v>22</v>
      </c>
      <c r="L11" s="7"/>
      <c r="M11" s="7"/>
      <c r="N11" s="7"/>
      <c r="O11" s="7"/>
    </row>
    <row r="12" spans="1:15" ht="34" x14ac:dyDescent="0.2">
      <c r="A12" s="13" t="s">
        <v>76</v>
      </c>
      <c r="B12" s="13" t="s">
        <v>24</v>
      </c>
      <c r="C12" s="13" t="s">
        <v>77</v>
      </c>
      <c r="D12" s="13" t="s">
        <v>78</v>
      </c>
      <c r="E12" s="13" t="s">
        <v>79</v>
      </c>
      <c r="F12" s="13" t="s">
        <v>80</v>
      </c>
      <c r="G12" s="13">
        <v>-26.246700000000001</v>
      </c>
      <c r="H12" s="13">
        <v>27.94605</v>
      </c>
      <c r="I12" s="15" t="s">
        <v>36</v>
      </c>
      <c r="J12" s="13" t="s">
        <v>37</v>
      </c>
      <c r="K12" s="26" t="s">
        <v>22</v>
      </c>
      <c r="L12" s="7"/>
      <c r="M12" s="7"/>
      <c r="N12" s="7"/>
      <c r="O12" s="7"/>
    </row>
    <row r="13" spans="1:15" ht="51" x14ac:dyDescent="0.2">
      <c r="A13" s="13" t="s">
        <v>81</v>
      </c>
      <c r="B13" s="13" t="s">
        <v>24</v>
      </c>
      <c r="C13" s="13" t="s">
        <v>82</v>
      </c>
      <c r="D13" s="13" t="s">
        <v>83</v>
      </c>
      <c r="E13" s="13" t="s">
        <v>84</v>
      </c>
      <c r="F13" s="13" t="s">
        <v>85</v>
      </c>
      <c r="G13" s="13">
        <v>-26.253599999999999</v>
      </c>
      <c r="H13" s="13">
        <v>27.94125</v>
      </c>
      <c r="I13" s="14" t="s">
        <v>43</v>
      </c>
      <c r="J13" s="13" t="s">
        <v>44</v>
      </c>
      <c r="K13" s="26" t="s">
        <v>22</v>
      </c>
      <c r="L13" s="7"/>
      <c r="M13" s="7"/>
      <c r="N13" s="7"/>
      <c r="O13" s="7"/>
    </row>
    <row r="14" spans="1:15" ht="51" x14ac:dyDescent="0.2">
      <c r="A14" s="13" t="s">
        <v>86</v>
      </c>
      <c r="B14" s="13" t="s">
        <v>24</v>
      </c>
      <c r="C14" s="13" t="s">
        <v>82</v>
      </c>
      <c r="D14" s="13" t="s">
        <v>87</v>
      </c>
      <c r="E14" s="13" t="s">
        <v>88</v>
      </c>
      <c r="F14" s="13" t="s">
        <v>89</v>
      </c>
      <c r="G14" s="13">
        <v>-26.253599999999999</v>
      </c>
      <c r="H14" s="13">
        <v>27.94125</v>
      </c>
      <c r="I14" s="14" t="s">
        <v>43</v>
      </c>
      <c r="J14" s="13" t="s">
        <v>44</v>
      </c>
      <c r="K14" s="26" t="s">
        <v>22</v>
      </c>
      <c r="L14" s="7"/>
      <c r="M14" s="7"/>
      <c r="N14" s="7"/>
      <c r="O14" s="7"/>
    </row>
    <row r="15" spans="1:15" ht="17" x14ac:dyDescent="0.2">
      <c r="A15" s="13" t="s">
        <v>90</v>
      </c>
      <c r="B15" s="13" t="s">
        <v>24</v>
      </c>
      <c r="C15" s="13" t="s">
        <v>91</v>
      </c>
      <c r="D15" s="13" t="s">
        <v>92</v>
      </c>
      <c r="E15" s="13" t="s">
        <v>93</v>
      </c>
      <c r="F15" s="13" t="s">
        <v>94</v>
      </c>
      <c r="G15" s="13">
        <v>-26.244250000000001</v>
      </c>
      <c r="H15" s="13">
        <v>27.94408</v>
      </c>
      <c r="I15" s="14" t="s">
        <v>43</v>
      </c>
      <c r="J15" s="13" t="s">
        <v>95</v>
      </c>
      <c r="K15" s="26" t="s">
        <v>22</v>
      </c>
      <c r="L15" s="7"/>
      <c r="M15" s="7"/>
      <c r="N15" s="7"/>
      <c r="O15" s="7"/>
    </row>
    <row r="16" spans="1:15" ht="17" x14ac:dyDescent="0.2">
      <c r="A16" s="13" t="s">
        <v>96</v>
      </c>
      <c r="B16" s="13" t="s">
        <v>24</v>
      </c>
      <c r="C16" s="13" t="s">
        <v>97</v>
      </c>
      <c r="D16" s="13" t="s">
        <v>98</v>
      </c>
      <c r="E16" s="13" t="s">
        <v>99</v>
      </c>
      <c r="F16" s="13" t="s">
        <v>100</v>
      </c>
      <c r="G16" s="13">
        <v>-26.238720000000001</v>
      </c>
      <c r="H16" s="13">
        <v>27.949680000000001</v>
      </c>
      <c r="I16" s="14" t="s">
        <v>43</v>
      </c>
      <c r="J16" s="13" t="s">
        <v>101</v>
      </c>
      <c r="K16" s="26" t="s">
        <v>22</v>
      </c>
      <c r="L16" s="7"/>
      <c r="M16" s="7"/>
      <c r="N16" s="7"/>
      <c r="O16" s="7"/>
    </row>
    <row r="17" spans="1:15" ht="17" x14ac:dyDescent="0.2">
      <c r="A17" s="13" t="s">
        <v>102</v>
      </c>
      <c r="B17" s="13" t="s">
        <v>24</v>
      </c>
      <c r="C17" s="13" t="s">
        <v>103</v>
      </c>
      <c r="D17" s="13" t="s">
        <v>104</v>
      </c>
      <c r="E17" s="13" t="s">
        <v>105</v>
      </c>
      <c r="F17" s="13" t="s">
        <v>106</v>
      </c>
      <c r="G17" s="13">
        <v>-26.253450000000001</v>
      </c>
      <c r="H17" s="13">
        <v>27.941130000000001</v>
      </c>
      <c r="I17" s="14" t="s">
        <v>43</v>
      </c>
      <c r="J17" s="13" t="s">
        <v>44</v>
      </c>
      <c r="K17" s="26" t="s">
        <v>22</v>
      </c>
      <c r="L17" s="7"/>
      <c r="M17" s="7"/>
      <c r="N17" s="7"/>
      <c r="O17" s="7"/>
    </row>
    <row r="18" spans="1:15" ht="34" x14ac:dyDescent="0.2">
      <c r="A18" s="13" t="s">
        <v>107</v>
      </c>
      <c r="B18" s="13" t="s">
        <v>24</v>
      </c>
      <c r="C18" s="13" t="s">
        <v>108</v>
      </c>
      <c r="D18" s="13" t="s">
        <v>109</v>
      </c>
      <c r="E18" s="13" t="s">
        <v>110</v>
      </c>
      <c r="F18" s="13" t="s">
        <v>111</v>
      </c>
      <c r="G18" s="13">
        <v>-26.244399999999999</v>
      </c>
      <c r="H18" s="13">
        <v>27.9419</v>
      </c>
      <c r="I18" s="14" t="s">
        <v>29</v>
      </c>
      <c r="J18" s="13" t="s">
        <v>112</v>
      </c>
      <c r="K18" s="26" t="s">
        <v>22</v>
      </c>
      <c r="L18" s="7"/>
      <c r="M18" s="7"/>
      <c r="N18" s="7"/>
      <c r="O18" s="7"/>
    </row>
    <row r="19" spans="1:15" ht="34" x14ac:dyDescent="0.2">
      <c r="A19" s="13" t="s">
        <v>113</v>
      </c>
      <c r="B19" s="13" t="s">
        <v>24</v>
      </c>
      <c r="C19" s="13" t="s">
        <v>32</v>
      </c>
      <c r="D19" s="13" t="s">
        <v>114</v>
      </c>
      <c r="E19" s="13" t="s">
        <v>34</v>
      </c>
      <c r="F19" s="13" t="s">
        <v>115</v>
      </c>
      <c r="G19" s="13">
        <v>-26.24765</v>
      </c>
      <c r="H19" s="13">
        <v>27.9453</v>
      </c>
      <c r="I19" s="15" t="s">
        <v>36</v>
      </c>
      <c r="J19" s="13" t="s">
        <v>37</v>
      </c>
      <c r="K19" s="26" t="s">
        <v>22</v>
      </c>
      <c r="L19" s="7"/>
      <c r="M19" s="7"/>
      <c r="N19" s="7"/>
      <c r="O19" s="7"/>
    </row>
    <row r="20" spans="1:15" ht="34" x14ac:dyDescent="0.2">
      <c r="A20" s="13" t="s">
        <v>116</v>
      </c>
      <c r="B20" s="13" t="s">
        <v>117</v>
      </c>
      <c r="C20" s="13" t="s">
        <v>118</v>
      </c>
      <c r="D20" s="13" t="s">
        <v>119</v>
      </c>
      <c r="E20" s="13" t="s">
        <v>120</v>
      </c>
      <c r="F20" s="13" t="s">
        <v>121</v>
      </c>
      <c r="G20" s="13">
        <v>-26.234200000000001</v>
      </c>
      <c r="H20" s="13">
        <v>27.831099999999999</v>
      </c>
      <c r="I20" s="14" t="s">
        <v>29</v>
      </c>
      <c r="J20" s="13" t="s">
        <v>122</v>
      </c>
      <c r="K20" s="26" t="s">
        <v>22</v>
      </c>
      <c r="L20" s="7"/>
      <c r="M20" s="7"/>
      <c r="N20" s="7"/>
      <c r="O20" s="7"/>
    </row>
    <row r="21" spans="1:15" ht="34" x14ac:dyDescent="0.2">
      <c r="A21" s="13" t="s">
        <v>123</v>
      </c>
      <c r="B21" s="13" t="s">
        <v>117</v>
      </c>
      <c r="C21" s="13" t="s">
        <v>124</v>
      </c>
      <c r="D21" s="13" t="s">
        <v>125</v>
      </c>
      <c r="E21" s="13" t="s">
        <v>126</v>
      </c>
      <c r="F21" s="13" t="s">
        <v>127</v>
      </c>
      <c r="G21" s="13">
        <v>-26.235099999999999</v>
      </c>
      <c r="H21" s="13">
        <v>27.829699999999999</v>
      </c>
      <c r="I21" s="15" t="s">
        <v>36</v>
      </c>
      <c r="J21" s="13" t="s">
        <v>37</v>
      </c>
      <c r="K21" s="26" t="s">
        <v>22</v>
      </c>
      <c r="L21" s="7"/>
      <c r="M21" s="7"/>
      <c r="N21" s="7"/>
      <c r="O21" s="7"/>
    </row>
    <row r="22" spans="1:15" ht="34" x14ac:dyDescent="0.2">
      <c r="A22" s="13" t="s">
        <v>128</v>
      </c>
      <c r="B22" s="13" t="s">
        <v>117</v>
      </c>
      <c r="C22" s="13" t="s">
        <v>129</v>
      </c>
      <c r="D22" s="13" t="s">
        <v>130</v>
      </c>
      <c r="E22" s="13" t="s">
        <v>131</v>
      </c>
      <c r="F22" s="13" t="s">
        <v>132</v>
      </c>
      <c r="G22" s="13">
        <v>-26.23415</v>
      </c>
      <c r="H22" s="13">
        <v>27.83155</v>
      </c>
      <c r="I22" s="15" t="s">
        <v>36</v>
      </c>
      <c r="J22" s="13" t="s">
        <v>37</v>
      </c>
      <c r="K22" s="26" t="s">
        <v>22</v>
      </c>
      <c r="L22" s="7"/>
      <c r="M22" s="7"/>
      <c r="N22" s="7"/>
      <c r="O22" s="7"/>
    </row>
    <row r="23" spans="1:15" ht="34" x14ac:dyDescent="0.2">
      <c r="A23" s="13" t="s">
        <v>133</v>
      </c>
      <c r="B23" s="13" t="s">
        <v>134</v>
      </c>
      <c r="C23" s="13" t="s">
        <v>135</v>
      </c>
      <c r="D23" s="13" t="s">
        <v>136</v>
      </c>
      <c r="E23" s="13" t="s">
        <v>137</v>
      </c>
      <c r="F23" s="13" t="s">
        <v>138</v>
      </c>
      <c r="G23" s="13">
        <v>-26.251899999999999</v>
      </c>
      <c r="H23" s="13">
        <v>27.809000000000001</v>
      </c>
      <c r="I23" s="15" t="s">
        <v>36</v>
      </c>
      <c r="J23" s="13" t="s">
        <v>37</v>
      </c>
      <c r="K23" s="26" t="s">
        <v>22</v>
      </c>
      <c r="L23" s="7"/>
      <c r="M23" s="7"/>
      <c r="N23" s="7"/>
      <c r="O23" s="7"/>
    </row>
    <row r="24" spans="1:15" ht="34" x14ac:dyDescent="0.2">
      <c r="A24" s="13" t="s">
        <v>139</v>
      </c>
      <c r="B24" s="13" t="s">
        <v>134</v>
      </c>
      <c r="C24" s="13" t="s">
        <v>140</v>
      </c>
      <c r="D24" s="13" t="s">
        <v>141</v>
      </c>
      <c r="E24" s="13" t="s">
        <v>142</v>
      </c>
      <c r="F24" s="13" t="s">
        <v>143</v>
      </c>
      <c r="G24" s="13">
        <v>-26.2515</v>
      </c>
      <c r="H24" s="13">
        <v>27.808299999999999</v>
      </c>
      <c r="I24" s="15" t="s">
        <v>36</v>
      </c>
      <c r="J24" s="13" t="s">
        <v>37</v>
      </c>
      <c r="K24" s="26" t="s">
        <v>22</v>
      </c>
      <c r="L24" s="7"/>
      <c r="M24" s="7"/>
      <c r="N24" s="7"/>
      <c r="O24" s="7"/>
    </row>
    <row r="25" spans="1:15" ht="34" x14ac:dyDescent="0.2">
      <c r="A25" s="13" t="s">
        <v>144</v>
      </c>
      <c r="B25" s="13" t="s">
        <v>145</v>
      </c>
      <c r="C25" s="13" t="s">
        <v>146</v>
      </c>
      <c r="D25" s="13" t="s">
        <v>147</v>
      </c>
      <c r="E25" s="13" t="s">
        <v>148</v>
      </c>
      <c r="F25" s="13" t="s">
        <v>149</v>
      </c>
      <c r="G25" s="13">
        <v>-26.24935</v>
      </c>
      <c r="H25" s="13">
        <v>27.893750000000001</v>
      </c>
      <c r="I25" s="15" t="s">
        <v>36</v>
      </c>
      <c r="J25" s="13" t="s">
        <v>37</v>
      </c>
      <c r="K25" s="26" t="s">
        <v>22</v>
      </c>
      <c r="L25" s="7"/>
      <c r="M25" s="7"/>
      <c r="N25" s="7"/>
      <c r="O25" s="7"/>
    </row>
    <row r="26" spans="1:15" ht="34" x14ac:dyDescent="0.2">
      <c r="A26" s="13" t="s">
        <v>150</v>
      </c>
      <c r="B26" s="13" t="s">
        <v>145</v>
      </c>
      <c r="C26" s="13" t="s">
        <v>151</v>
      </c>
      <c r="D26" s="13" t="s">
        <v>152</v>
      </c>
      <c r="E26" s="13" t="s">
        <v>153</v>
      </c>
      <c r="F26" s="13" t="s">
        <v>154</v>
      </c>
      <c r="G26" s="13">
        <v>-26.24905</v>
      </c>
      <c r="H26" s="13">
        <v>27.8949</v>
      </c>
      <c r="I26" s="15" t="s">
        <v>36</v>
      </c>
      <c r="J26" s="13" t="s">
        <v>37</v>
      </c>
      <c r="K26" s="26" t="s">
        <v>22</v>
      </c>
      <c r="L26" s="7"/>
      <c r="M26" s="7"/>
      <c r="N26" s="7"/>
      <c r="O26" s="7"/>
    </row>
    <row r="27" spans="1:15" ht="17" x14ac:dyDescent="0.2">
      <c r="A27" s="13" t="s">
        <v>155</v>
      </c>
      <c r="B27" s="13" t="s">
        <v>145</v>
      </c>
      <c r="C27" s="13" t="s">
        <v>156</v>
      </c>
      <c r="D27" s="13" t="s">
        <v>157</v>
      </c>
      <c r="E27" s="13" t="s">
        <v>158</v>
      </c>
      <c r="F27" s="13" t="s">
        <v>159</v>
      </c>
      <c r="G27" s="13">
        <v>-26.249700000000001</v>
      </c>
      <c r="H27" s="13">
        <v>27.895</v>
      </c>
      <c r="I27" s="14" t="s">
        <v>29</v>
      </c>
      <c r="J27" s="13" t="s">
        <v>160</v>
      </c>
      <c r="K27" s="26" t="s">
        <v>22</v>
      </c>
      <c r="L27" s="7"/>
      <c r="M27" s="7"/>
      <c r="N27" s="7"/>
      <c r="O27" s="7"/>
    </row>
    <row r="28" spans="1:15" ht="34" x14ac:dyDescent="0.2">
      <c r="A28" s="13" t="s">
        <v>161</v>
      </c>
      <c r="B28" s="13" t="s">
        <v>145</v>
      </c>
      <c r="C28" s="13" t="s">
        <v>162</v>
      </c>
      <c r="D28" s="13" t="s">
        <v>163</v>
      </c>
      <c r="E28" s="13" t="s">
        <v>164</v>
      </c>
      <c r="F28" s="13" t="s">
        <v>165</v>
      </c>
      <c r="G28" s="13">
        <v>-26.25095</v>
      </c>
      <c r="H28" s="13">
        <v>27.89575</v>
      </c>
      <c r="I28" s="15" t="s">
        <v>36</v>
      </c>
      <c r="J28" s="13" t="s">
        <v>37</v>
      </c>
      <c r="K28" s="26" t="s">
        <v>22</v>
      </c>
      <c r="L28" s="7"/>
      <c r="M28" s="7"/>
      <c r="N28" s="7"/>
      <c r="O28" s="7"/>
    </row>
    <row r="29" spans="1:15" ht="34" x14ac:dyDescent="0.2">
      <c r="A29" s="13" t="s">
        <v>166</v>
      </c>
      <c r="B29" s="13" t="s">
        <v>145</v>
      </c>
      <c r="C29" s="13" t="s">
        <v>162</v>
      </c>
      <c r="D29" s="13" t="s">
        <v>167</v>
      </c>
      <c r="E29" s="13" t="s">
        <v>164</v>
      </c>
      <c r="F29" s="13" t="s">
        <v>168</v>
      </c>
      <c r="G29" s="13">
        <v>-26.25095</v>
      </c>
      <c r="H29" s="13">
        <v>27.89575</v>
      </c>
      <c r="I29" s="15" t="s">
        <v>36</v>
      </c>
      <c r="J29" s="13" t="s">
        <v>37</v>
      </c>
      <c r="K29" s="26" t="s">
        <v>22</v>
      </c>
      <c r="L29" s="7"/>
      <c r="M29" s="7"/>
      <c r="N29" s="7"/>
      <c r="O29" s="7"/>
    </row>
    <row r="30" spans="1:15" ht="34" x14ac:dyDescent="0.2">
      <c r="A30" s="13" t="s">
        <v>169</v>
      </c>
      <c r="B30" s="13" t="s">
        <v>170</v>
      </c>
      <c r="C30" s="13" t="s">
        <v>17</v>
      </c>
      <c r="D30" s="13" t="s">
        <v>171</v>
      </c>
      <c r="E30" s="13"/>
      <c r="F30" s="13" t="s">
        <v>172</v>
      </c>
      <c r="G30" s="13">
        <v>-26.253299999999999</v>
      </c>
      <c r="H30" s="13">
        <v>27.862500000000001</v>
      </c>
      <c r="I30" s="17" t="s">
        <v>20</v>
      </c>
      <c r="J30" s="13" t="s">
        <v>21</v>
      </c>
      <c r="K30" s="26" t="s">
        <v>22</v>
      </c>
      <c r="L30" s="7"/>
      <c r="M30" s="7"/>
      <c r="N30" s="7"/>
      <c r="O30" s="7"/>
    </row>
    <row r="31" spans="1:15" ht="34" x14ac:dyDescent="0.2">
      <c r="A31" s="13" t="s">
        <v>173</v>
      </c>
      <c r="B31" s="13" t="s">
        <v>174</v>
      </c>
      <c r="C31" s="13" t="s">
        <v>175</v>
      </c>
      <c r="D31" s="13" t="s">
        <v>176</v>
      </c>
      <c r="E31" s="13" t="s">
        <v>177</v>
      </c>
      <c r="F31" s="13" t="s">
        <v>178</v>
      </c>
      <c r="G31" s="13">
        <v>-26.2803</v>
      </c>
      <c r="H31" s="13">
        <v>27.856999999999999</v>
      </c>
      <c r="I31" s="15" t="s">
        <v>36</v>
      </c>
      <c r="J31" s="13" t="s">
        <v>37</v>
      </c>
      <c r="K31" s="26" t="s">
        <v>22</v>
      </c>
      <c r="L31" s="7"/>
      <c r="M31" s="7"/>
      <c r="N31" s="7"/>
      <c r="O31" s="7"/>
    </row>
    <row r="32" spans="1:15" ht="34" x14ac:dyDescent="0.2">
      <c r="A32" s="13" t="s">
        <v>179</v>
      </c>
      <c r="B32" s="13" t="s">
        <v>180</v>
      </c>
      <c r="C32" s="13" t="s">
        <v>181</v>
      </c>
      <c r="D32" s="13" t="s">
        <v>182</v>
      </c>
      <c r="E32" s="13" t="s">
        <v>183</v>
      </c>
      <c r="F32" s="13" t="s">
        <v>184</v>
      </c>
      <c r="G32" s="13">
        <v>-26.22465</v>
      </c>
      <c r="H32" s="13">
        <v>27.905550000000002</v>
      </c>
      <c r="I32" s="15" t="s">
        <v>36</v>
      </c>
      <c r="J32" s="13" t="s">
        <v>37</v>
      </c>
      <c r="K32" s="26" t="s">
        <v>22</v>
      </c>
      <c r="L32" s="7"/>
      <c r="M32" s="7"/>
      <c r="N32" s="7"/>
      <c r="O32" s="7"/>
    </row>
    <row r="33" spans="1:15" ht="34" x14ac:dyDescent="0.2">
      <c r="A33" s="13" t="s">
        <v>185</v>
      </c>
      <c r="B33" s="13" t="s">
        <v>180</v>
      </c>
      <c r="C33" s="13" t="s">
        <v>186</v>
      </c>
      <c r="D33" s="13" t="s">
        <v>187</v>
      </c>
      <c r="E33" s="13" t="s">
        <v>183</v>
      </c>
      <c r="F33" s="13" t="s">
        <v>188</v>
      </c>
      <c r="G33" s="13">
        <v>-26.223099999999999</v>
      </c>
      <c r="H33" s="13">
        <v>27.908049999999999</v>
      </c>
      <c r="I33" s="15" t="s">
        <v>36</v>
      </c>
      <c r="J33" s="13" t="s">
        <v>37</v>
      </c>
      <c r="K33" s="26" t="s">
        <v>22</v>
      </c>
      <c r="L33" s="7"/>
      <c r="M33" s="7"/>
      <c r="N33" s="7"/>
      <c r="O33" s="7"/>
    </row>
    <row r="34" spans="1:15" ht="34" x14ac:dyDescent="0.2">
      <c r="A34" s="13" t="s">
        <v>189</v>
      </c>
      <c r="B34" s="13" t="s">
        <v>190</v>
      </c>
      <c r="C34" s="13" t="s">
        <v>17</v>
      </c>
      <c r="D34" s="13" t="s">
        <v>191</v>
      </c>
      <c r="E34" s="13"/>
      <c r="F34" s="13" t="s">
        <v>192</v>
      </c>
      <c r="G34" s="13">
        <v>-26.226099999999999</v>
      </c>
      <c r="H34" s="13">
        <v>27.9131</v>
      </c>
      <c r="I34" s="17" t="s">
        <v>20</v>
      </c>
      <c r="J34" s="13" t="s">
        <v>21</v>
      </c>
      <c r="K34" s="26" t="s">
        <v>22</v>
      </c>
      <c r="L34" s="7"/>
      <c r="M34" s="7"/>
      <c r="N34" s="7"/>
      <c r="O34" s="7"/>
    </row>
    <row r="35" spans="1:15" ht="34" x14ac:dyDescent="0.2">
      <c r="A35" s="13" t="s">
        <v>193</v>
      </c>
      <c r="B35" s="13" t="s">
        <v>190</v>
      </c>
      <c r="C35" s="13" t="s">
        <v>17</v>
      </c>
      <c r="D35" s="13" t="s">
        <v>194</v>
      </c>
      <c r="E35" s="13"/>
      <c r="F35" s="13" t="s">
        <v>195</v>
      </c>
      <c r="G35" s="13">
        <v>-26.226099999999999</v>
      </c>
      <c r="H35" s="13">
        <v>27.9131</v>
      </c>
      <c r="I35" s="17" t="s">
        <v>20</v>
      </c>
      <c r="J35" s="13" t="s">
        <v>21</v>
      </c>
      <c r="K35" s="26" t="s">
        <v>22</v>
      </c>
      <c r="L35" s="7"/>
      <c r="M35" s="7"/>
      <c r="N35" s="7"/>
      <c r="O35" s="7"/>
    </row>
    <row r="36" spans="1:15" ht="34" x14ac:dyDescent="0.2">
      <c r="A36" s="13" t="s">
        <v>196</v>
      </c>
      <c r="B36" s="13" t="s">
        <v>197</v>
      </c>
      <c r="C36" s="13" t="s">
        <v>198</v>
      </c>
      <c r="D36" s="13" t="s">
        <v>199</v>
      </c>
      <c r="E36" s="13" t="s">
        <v>200</v>
      </c>
      <c r="F36" s="13" t="s">
        <v>201</v>
      </c>
      <c r="G36" s="13">
        <v>-26.253550000000001</v>
      </c>
      <c r="H36" s="13">
        <v>27.889500000000002</v>
      </c>
      <c r="I36" s="15" t="s">
        <v>36</v>
      </c>
      <c r="J36" s="13" t="s">
        <v>37</v>
      </c>
      <c r="K36" s="26" t="s">
        <v>22</v>
      </c>
      <c r="L36" s="7"/>
      <c r="M36" s="7"/>
      <c r="N36" s="7"/>
      <c r="O36" s="7"/>
    </row>
    <row r="37" spans="1:15" ht="34" x14ac:dyDescent="0.2">
      <c r="A37" s="13" t="s">
        <v>202</v>
      </c>
      <c r="B37" s="13" t="s">
        <v>197</v>
      </c>
      <c r="C37" s="13" t="s">
        <v>203</v>
      </c>
      <c r="D37" s="13" t="s">
        <v>204</v>
      </c>
      <c r="E37" s="13" t="s">
        <v>205</v>
      </c>
      <c r="F37" s="13" t="s">
        <v>206</v>
      </c>
      <c r="G37" s="13">
        <v>-26.253399999999999</v>
      </c>
      <c r="H37" s="13">
        <v>27.889600000000002</v>
      </c>
      <c r="I37" s="15" t="s">
        <v>36</v>
      </c>
      <c r="J37" s="13" t="s">
        <v>37</v>
      </c>
      <c r="K37" s="26" t="s">
        <v>22</v>
      </c>
      <c r="L37" s="7"/>
      <c r="M37" s="7"/>
      <c r="N37" s="7"/>
      <c r="O37" s="7"/>
    </row>
    <row r="38" spans="1:15" ht="34" x14ac:dyDescent="0.2">
      <c r="A38" s="13" t="s">
        <v>207</v>
      </c>
      <c r="B38" s="13" t="s">
        <v>197</v>
      </c>
      <c r="C38" s="13" t="s">
        <v>208</v>
      </c>
      <c r="D38" s="13" t="s">
        <v>209</v>
      </c>
      <c r="E38" s="13" t="s">
        <v>210</v>
      </c>
      <c r="F38" s="13" t="s">
        <v>211</v>
      </c>
      <c r="G38" s="13">
        <v>-26.254049999999999</v>
      </c>
      <c r="H38" s="13">
        <v>27.8886</v>
      </c>
      <c r="I38" s="15" t="s">
        <v>36</v>
      </c>
      <c r="J38" s="13" t="s">
        <v>37</v>
      </c>
      <c r="K38" s="26" t="s">
        <v>22</v>
      </c>
      <c r="L38" s="7"/>
      <c r="M38" s="7"/>
      <c r="N38" s="7"/>
      <c r="O38" s="7"/>
    </row>
    <row r="39" spans="1:15" ht="34" x14ac:dyDescent="0.2">
      <c r="A39" s="13" t="s">
        <v>212</v>
      </c>
      <c r="B39" s="13" t="s">
        <v>213</v>
      </c>
      <c r="C39" s="13" t="s">
        <v>214</v>
      </c>
      <c r="D39" s="13" t="s">
        <v>215</v>
      </c>
      <c r="E39" s="13" t="s">
        <v>216</v>
      </c>
      <c r="F39" s="13" t="s">
        <v>217</v>
      </c>
      <c r="G39" s="13">
        <v>-26.2469</v>
      </c>
      <c r="H39" s="13">
        <v>27.88805</v>
      </c>
      <c r="I39" s="15" t="s">
        <v>36</v>
      </c>
      <c r="J39" s="13" t="s">
        <v>37</v>
      </c>
      <c r="K39" s="26" t="s">
        <v>22</v>
      </c>
      <c r="L39" s="7"/>
      <c r="M39" s="7"/>
      <c r="N39" s="7"/>
      <c r="O39" s="7"/>
    </row>
    <row r="40" spans="1:15" ht="34" x14ac:dyDescent="0.2">
      <c r="A40" s="13" t="s">
        <v>218</v>
      </c>
      <c r="B40" s="13" t="s">
        <v>219</v>
      </c>
      <c r="C40" s="13" t="s">
        <v>220</v>
      </c>
      <c r="D40" s="13" t="s">
        <v>221</v>
      </c>
      <c r="E40" s="13" t="s">
        <v>222</v>
      </c>
      <c r="F40" s="13" t="s">
        <v>223</v>
      </c>
      <c r="G40" s="13">
        <v>-26.262699999999999</v>
      </c>
      <c r="H40" s="13">
        <v>27.850650000000002</v>
      </c>
      <c r="I40" s="15" t="s">
        <v>36</v>
      </c>
      <c r="J40" s="13" t="s">
        <v>37</v>
      </c>
      <c r="K40" s="26" t="s">
        <v>22</v>
      </c>
      <c r="L40" s="7"/>
      <c r="M40" s="7"/>
      <c r="N40" s="7"/>
      <c r="O40" s="7"/>
    </row>
    <row r="41" spans="1:15" ht="34" x14ac:dyDescent="0.2">
      <c r="A41" s="13" t="s">
        <v>224</v>
      </c>
      <c r="B41" s="13" t="s">
        <v>225</v>
      </c>
      <c r="C41" s="13" t="s">
        <v>226</v>
      </c>
      <c r="D41" s="13" t="s">
        <v>227</v>
      </c>
      <c r="E41" s="13" t="s">
        <v>228</v>
      </c>
      <c r="F41" s="13" t="s">
        <v>229</v>
      </c>
      <c r="G41" s="13">
        <v>-26.2316</v>
      </c>
      <c r="H41" s="13">
        <v>27.901900000000001</v>
      </c>
      <c r="I41" s="15" t="s">
        <v>36</v>
      </c>
      <c r="J41" s="13" t="s">
        <v>37</v>
      </c>
      <c r="K41" s="26" t="s">
        <v>22</v>
      </c>
      <c r="L41" s="7"/>
      <c r="M41" s="7"/>
      <c r="N41" s="7"/>
      <c r="O41" s="7"/>
    </row>
    <row r="42" spans="1:15" ht="17" x14ac:dyDescent="0.2">
      <c r="A42" s="13" t="s">
        <v>230</v>
      </c>
      <c r="B42" s="13" t="s">
        <v>231</v>
      </c>
      <c r="C42" s="13" t="s">
        <v>232</v>
      </c>
      <c r="D42" s="13" t="s">
        <v>233</v>
      </c>
      <c r="E42" s="13" t="s">
        <v>234</v>
      </c>
      <c r="F42" s="13" t="s">
        <v>235</v>
      </c>
      <c r="G42" s="13">
        <v>-26.272500000000001</v>
      </c>
      <c r="H42" s="13">
        <v>27.836400000000001</v>
      </c>
      <c r="I42" s="14" t="s">
        <v>29</v>
      </c>
      <c r="J42" s="13" t="s">
        <v>236</v>
      </c>
      <c r="K42" s="26" t="s">
        <v>22</v>
      </c>
      <c r="L42" s="7"/>
      <c r="M42" s="7"/>
      <c r="N42" s="7"/>
      <c r="O42" s="7"/>
    </row>
    <row r="43" spans="1:15" ht="34" x14ac:dyDescent="0.2">
      <c r="A43" s="13" t="s">
        <v>237</v>
      </c>
      <c r="B43" s="13" t="s">
        <v>231</v>
      </c>
      <c r="C43" s="13" t="s">
        <v>238</v>
      </c>
      <c r="D43" s="13" t="s">
        <v>239</v>
      </c>
      <c r="E43" s="13" t="s">
        <v>240</v>
      </c>
      <c r="F43" s="13" t="s">
        <v>241</v>
      </c>
      <c r="G43" s="13">
        <v>-26.273849999999999</v>
      </c>
      <c r="H43" s="13">
        <v>27.8369</v>
      </c>
      <c r="I43" s="15" t="s">
        <v>36</v>
      </c>
      <c r="J43" s="13" t="s">
        <v>37</v>
      </c>
      <c r="K43" s="26" t="s">
        <v>22</v>
      </c>
      <c r="L43" s="7"/>
      <c r="M43" s="7"/>
      <c r="N43" s="7"/>
      <c r="O43" s="7"/>
    </row>
    <row r="44" spans="1:15" ht="34" x14ac:dyDescent="0.2">
      <c r="A44" s="13" t="s">
        <v>242</v>
      </c>
      <c r="B44" s="13" t="s">
        <v>243</v>
      </c>
      <c r="C44" s="13" t="s">
        <v>244</v>
      </c>
      <c r="D44" s="13" t="s">
        <v>245</v>
      </c>
      <c r="E44" s="13" t="s">
        <v>246</v>
      </c>
      <c r="F44" s="13" t="s">
        <v>247</v>
      </c>
      <c r="G44" s="13">
        <v>-26.271899999999999</v>
      </c>
      <c r="H44" s="13">
        <v>27.8567</v>
      </c>
      <c r="I44" s="15" t="s">
        <v>36</v>
      </c>
      <c r="J44" s="13" t="s">
        <v>37</v>
      </c>
      <c r="K44" s="26" t="s">
        <v>22</v>
      </c>
      <c r="L44" s="7"/>
      <c r="M44" s="7"/>
      <c r="N44" s="7"/>
      <c r="O44" s="7"/>
    </row>
    <row r="45" spans="1:15" ht="34" x14ac:dyDescent="0.2">
      <c r="A45" s="13" t="s">
        <v>248</v>
      </c>
      <c r="B45" s="13" t="s">
        <v>249</v>
      </c>
      <c r="C45" s="13" t="s">
        <v>17</v>
      </c>
      <c r="D45" s="13" t="s">
        <v>250</v>
      </c>
      <c r="E45" s="13"/>
      <c r="F45" s="13" t="s">
        <v>251</v>
      </c>
      <c r="G45" s="13">
        <v>-26.27</v>
      </c>
      <c r="H45" s="13">
        <v>27.9011</v>
      </c>
      <c r="I45" s="17" t="s">
        <v>20</v>
      </c>
      <c r="J45" s="13" t="s">
        <v>21</v>
      </c>
      <c r="K45" s="26" t="s">
        <v>22</v>
      </c>
      <c r="L45" s="7"/>
      <c r="M45" s="7"/>
      <c r="N45" s="7"/>
      <c r="O45" s="7"/>
    </row>
    <row r="46" spans="1:15" ht="34" x14ac:dyDescent="0.2">
      <c r="A46" s="13" t="s">
        <v>252</v>
      </c>
      <c r="B46" s="13" t="s">
        <v>253</v>
      </c>
      <c r="C46" s="13" t="s">
        <v>254</v>
      </c>
      <c r="D46" s="13" t="s">
        <v>255</v>
      </c>
      <c r="E46" s="13" t="s">
        <v>256</v>
      </c>
      <c r="F46" s="13" t="s">
        <v>257</v>
      </c>
      <c r="G46" s="13">
        <v>-26.277650000000001</v>
      </c>
      <c r="H46" s="13">
        <v>27.802399999999999</v>
      </c>
      <c r="I46" s="15" t="s">
        <v>36</v>
      </c>
      <c r="J46" s="13" t="s">
        <v>37</v>
      </c>
      <c r="K46" s="26" t="s">
        <v>22</v>
      </c>
      <c r="L46" s="7"/>
      <c r="M46" s="7"/>
      <c r="N46" s="7"/>
      <c r="O46" s="7"/>
    </row>
    <row r="47" spans="1:15" ht="34" x14ac:dyDescent="0.2">
      <c r="A47" s="13" t="s">
        <v>258</v>
      </c>
      <c r="B47" s="13" t="s">
        <v>259</v>
      </c>
      <c r="C47" s="13" t="s">
        <v>260</v>
      </c>
      <c r="D47" s="13" t="s">
        <v>261</v>
      </c>
      <c r="E47" s="13" t="s">
        <v>262</v>
      </c>
      <c r="F47" s="13" t="s">
        <v>263</v>
      </c>
      <c r="G47" s="13">
        <v>-26.275700000000001</v>
      </c>
      <c r="H47" s="13">
        <v>27.822099999999999</v>
      </c>
      <c r="I47" s="15" t="s">
        <v>36</v>
      </c>
      <c r="J47" s="13" t="s">
        <v>37</v>
      </c>
      <c r="K47" s="26" t="s">
        <v>22</v>
      </c>
      <c r="L47" s="7"/>
      <c r="M47" s="7"/>
      <c r="N47" s="7"/>
      <c r="O47" s="7"/>
    </row>
    <row r="48" spans="1:15" ht="34" x14ac:dyDescent="0.2">
      <c r="A48" s="13" t="s">
        <v>264</v>
      </c>
      <c r="B48" s="13" t="s">
        <v>265</v>
      </c>
      <c r="C48" s="13" t="s">
        <v>266</v>
      </c>
      <c r="D48" s="13" t="s">
        <v>267</v>
      </c>
      <c r="E48" s="13" t="s">
        <v>268</v>
      </c>
      <c r="F48" s="13" t="s">
        <v>269</v>
      </c>
      <c r="G48" s="13">
        <v>-26.2742</v>
      </c>
      <c r="H48" s="13">
        <v>27.873100000000001</v>
      </c>
      <c r="I48" s="14" t="s">
        <v>43</v>
      </c>
      <c r="J48" s="13" t="s">
        <v>270</v>
      </c>
      <c r="K48" s="26" t="s">
        <v>22</v>
      </c>
      <c r="L48" s="7"/>
      <c r="M48" s="7"/>
      <c r="N48" s="7"/>
      <c r="O48" s="7"/>
    </row>
    <row r="49" spans="1:15" ht="17" x14ac:dyDescent="0.2">
      <c r="A49" s="13" t="s">
        <v>271</v>
      </c>
      <c r="B49" s="13" t="s">
        <v>265</v>
      </c>
      <c r="C49" s="13" t="s">
        <v>272</v>
      </c>
      <c r="D49" s="13" t="s">
        <v>273</v>
      </c>
      <c r="E49" s="13" t="s">
        <v>274</v>
      </c>
      <c r="F49" s="13" t="s">
        <v>275</v>
      </c>
      <c r="G49" s="13">
        <v>-26.272500000000001</v>
      </c>
      <c r="H49" s="13">
        <v>27.836400000000001</v>
      </c>
      <c r="I49" s="14" t="s">
        <v>29</v>
      </c>
      <c r="J49" s="13" t="s">
        <v>276</v>
      </c>
      <c r="K49" s="26" t="s">
        <v>22</v>
      </c>
      <c r="L49" s="7"/>
      <c r="M49" s="7"/>
      <c r="N49" s="7"/>
      <c r="O49" s="7"/>
    </row>
    <row r="50" spans="1:15" ht="34" x14ac:dyDescent="0.2">
      <c r="A50" s="13" t="s">
        <v>277</v>
      </c>
      <c r="B50" s="13" t="s">
        <v>265</v>
      </c>
      <c r="C50" s="13" t="s">
        <v>278</v>
      </c>
      <c r="D50" s="13" t="s">
        <v>279</v>
      </c>
      <c r="E50" s="13" t="s">
        <v>228</v>
      </c>
      <c r="F50" s="13" t="s">
        <v>280</v>
      </c>
      <c r="G50" s="13">
        <v>-26.261099999999999</v>
      </c>
      <c r="H50" s="13">
        <v>27.9389</v>
      </c>
      <c r="I50" s="14" t="s">
        <v>29</v>
      </c>
      <c r="J50" s="13" t="s">
        <v>281</v>
      </c>
      <c r="K50" s="26" t="s">
        <v>22</v>
      </c>
      <c r="L50" s="7"/>
      <c r="M50" s="7"/>
      <c r="N50" s="7"/>
      <c r="O50" s="7"/>
    </row>
    <row r="51" spans="1:15" ht="34" x14ac:dyDescent="0.2">
      <c r="A51" s="13" t="s">
        <v>282</v>
      </c>
      <c r="B51" s="13" t="s">
        <v>265</v>
      </c>
      <c r="C51" s="13" t="s">
        <v>283</v>
      </c>
      <c r="D51" s="13" t="s">
        <v>284</v>
      </c>
      <c r="E51" s="13" t="s">
        <v>285</v>
      </c>
      <c r="F51" s="13" t="s">
        <v>286</v>
      </c>
      <c r="G51" s="13">
        <v>-26.256900000000002</v>
      </c>
      <c r="H51" s="13">
        <v>27.878299999999999</v>
      </c>
      <c r="I51" s="14" t="s">
        <v>29</v>
      </c>
      <c r="J51" s="13" t="s">
        <v>287</v>
      </c>
      <c r="K51" s="26" t="s">
        <v>22</v>
      </c>
      <c r="L51" s="7"/>
      <c r="M51" s="7"/>
      <c r="N51" s="7"/>
      <c r="O51" s="7"/>
    </row>
    <row r="52" spans="1:15" ht="34" x14ac:dyDescent="0.2">
      <c r="A52" s="13" t="s">
        <v>288</v>
      </c>
      <c r="B52" s="13" t="s">
        <v>265</v>
      </c>
      <c r="C52" s="13" t="s">
        <v>289</v>
      </c>
      <c r="D52" s="13" t="s">
        <v>290</v>
      </c>
      <c r="E52" s="13" t="s">
        <v>291</v>
      </c>
      <c r="F52" s="13" t="s">
        <v>292</v>
      </c>
      <c r="G52" s="13">
        <v>-26.267499999999998</v>
      </c>
      <c r="H52" s="13">
        <v>27.872800000000002</v>
      </c>
      <c r="I52" s="14" t="s">
        <v>43</v>
      </c>
      <c r="J52" s="13" t="s">
        <v>293</v>
      </c>
      <c r="K52" s="26" t="s">
        <v>22</v>
      </c>
      <c r="L52" s="7"/>
      <c r="M52" s="7"/>
      <c r="N52" s="7"/>
      <c r="O52" s="7"/>
    </row>
  </sheetData>
  <autoFilter ref="A1:O5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abSelected="1" zoomScaleNormal="100" workbookViewId="0">
      <selection activeCell="B7" sqref="B7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50" customWidth="1"/>
    <col min="4" max="4" width="14" customWidth="1"/>
    <col min="5" max="5" width="13" customWidth="1"/>
    <col min="6" max="6" width="4" customWidth="1"/>
  </cols>
  <sheetData>
    <row r="1" spans="1:6" ht="27.75" customHeight="1" x14ac:dyDescent="0.3">
      <c r="A1" s="5" t="s">
        <v>294</v>
      </c>
      <c r="B1" s="5"/>
      <c r="C1" s="5"/>
      <c r="D1" s="5"/>
      <c r="E1" s="5"/>
      <c r="F1" s="5"/>
    </row>
    <row r="2" spans="1:6" x14ac:dyDescent="0.2">
      <c r="A2" s="4" t="s">
        <v>295</v>
      </c>
      <c r="B2" s="4"/>
      <c r="C2" s="4"/>
      <c r="D2" s="4"/>
      <c r="E2" s="4"/>
      <c r="F2" s="4"/>
    </row>
    <row r="4" spans="1:6" ht="21.75" customHeight="1" x14ac:dyDescent="0.2">
      <c r="A4" s="3" t="s">
        <v>296</v>
      </c>
      <c r="B4" s="3"/>
      <c r="C4" s="3"/>
      <c r="D4" s="3"/>
      <c r="E4" s="3"/>
      <c r="F4" s="3"/>
    </row>
    <row r="5" spans="1:6" ht="24" customHeight="1" x14ac:dyDescent="0.2">
      <c r="A5" s="2" t="s">
        <v>297</v>
      </c>
      <c r="B5" s="2"/>
      <c r="C5" s="2"/>
      <c r="D5" s="2"/>
      <c r="E5" s="2"/>
      <c r="F5" s="2"/>
    </row>
    <row r="6" spans="1:6" x14ac:dyDescent="0.2">
      <c r="A6" s="10" t="s">
        <v>298</v>
      </c>
      <c r="B6" s="10" t="s">
        <v>3</v>
      </c>
      <c r="C6" s="10" t="s">
        <v>299</v>
      </c>
      <c r="D6" s="10" t="s">
        <v>4</v>
      </c>
      <c r="E6" s="10" t="s">
        <v>8</v>
      </c>
      <c r="F6" s="10" t="s">
        <v>300</v>
      </c>
    </row>
    <row r="7" spans="1:6" ht="17" x14ac:dyDescent="0.2">
      <c r="A7" s="7">
        <v>1</v>
      </c>
      <c r="B7" s="13" t="s">
        <v>33</v>
      </c>
      <c r="C7" s="13" t="s">
        <v>32</v>
      </c>
      <c r="D7" s="13" t="s">
        <v>34</v>
      </c>
      <c r="E7" s="9" t="s">
        <v>36</v>
      </c>
      <c r="F7" s="7"/>
    </row>
    <row r="8" spans="1:6" ht="17" x14ac:dyDescent="0.2">
      <c r="A8" s="7">
        <v>2</v>
      </c>
      <c r="B8" s="13" t="s">
        <v>74</v>
      </c>
      <c r="C8" s="13" t="s">
        <v>32</v>
      </c>
      <c r="D8" s="13" t="s">
        <v>34</v>
      </c>
      <c r="E8" s="9" t="s">
        <v>36</v>
      </c>
      <c r="F8" s="7"/>
    </row>
    <row r="9" spans="1:6" ht="17" x14ac:dyDescent="0.2">
      <c r="A9" s="7">
        <v>3</v>
      </c>
      <c r="B9" s="13" t="s">
        <v>114</v>
      </c>
      <c r="C9" s="13" t="s">
        <v>32</v>
      </c>
      <c r="D9" s="13" t="s">
        <v>34</v>
      </c>
      <c r="E9" s="9" t="s">
        <v>36</v>
      </c>
      <c r="F9" s="7"/>
    </row>
    <row r="10" spans="1:6" ht="17" x14ac:dyDescent="0.2">
      <c r="A10" s="7">
        <v>4</v>
      </c>
      <c r="B10" s="13" t="s">
        <v>98</v>
      </c>
      <c r="C10" s="13" t="s">
        <v>97</v>
      </c>
      <c r="D10" s="13" t="s">
        <v>99</v>
      </c>
      <c r="E10" s="8" t="s">
        <v>43</v>
      </c>
      <c r="F10" s="7"/>
    </row>
    <row r="11" spans="1:6" ht="34" x14ac:dyDescent="0.2">
      <c r="A11" s="7">
        <v>5</v>
      </c>
      <c r="B11" s="13" t="s">
        <v>52</v>
      </c>
      <c r="C11" s="13" t="s">
        <v>51</v>
      </c>
      <c r="D11" s="13" t="s">
        <v>53</v>
      </c>
      <c r="E11" s="8" t="s">
        <v>43</v>
      </c>
      <c r="F11" s="7"/>
    </row>
    <row r="12" spans="1:6" ht="17" x14ac:dyDescent="0.2">
      <c r="A12" s="7">
        <v>6</v>
      </c>
      <c r="B12" s="13" t="s">
        <v>92</v>
      </c>
      <c r="C12" s="13" t="s">
        <v>91</v>
      </c>
      <c r="D12" s="13" t="s">
        <v>93</v>
      </c>
      <c r="E12" s="8" t="s">
        <v>43</v>
      </c>
      <c r="F12" s="7"/>
    </row>
    <row r="13" spans="1:6" ht="34" x14ac:dyDescent="0.2">
      <c r="A13" s="7">
        <v>7</v>
      </c>
      <c r="B13" s="13" t="s">
        <v>109</v>
      </c>
      <c r="C13" s="13" t="s">
        <v>108</v>
      </c>
      <c r="D13" s="13" t="s">
        <v>110</v>
      </c>
      <c r="E13" s="8" t="s">
        <v>29</v>
      </c>
      <c r="F13" s="7"/>
    </row>
    <row r="15" spans="1:6" ht="21.75" customHeight="1" x14ac:dyDescent="0.2">
      <c r="A15" s="3" t="s">
        <v>301</v>
      </c>
      <c r="B15" s="3"/>
      <c r="C15" s="3"/>
      <c r="D15" s="3"/>
      <c r="E15" s="3"/>
      <c r="F15" s="3"/>
    </row>
    <row r="16" spans="1:6" ht="24" customHeight="1" x14ac:dyDescent="0.2">
      <c r="A16" s="2" t="s">
        <v>302</v>
      </c>
      <c r="B16" s="2"/>
      <c r="C16" s="2"/>
      <c r="D16" s="2"/>
      <c r="E16" s="2"/>
      <c r="F16" s="2"/>
    </row>
    <row r="17" spans="1:6" x14ac:dyDescent="0.2">
      <c r="A17" s="10" t="s">
        <v>298</v>
      </c>
      <c r="B17" s="10" t="s">
        <v>3</v>
      </c>
      <c r="C17" s="10" t="s">
        <v>299</v>
      </c>
      <c r="D17" s="10" t="s">
        <v>4</v>
      </c>
      <c r="E17" s="10" t="s">
        <v>8</v>
      </c>
      <c r="F17" s="10" t="s">
        <v>300</v>
      </c>
    </row>
    <row r="18" spans="1:6" ht="17" x14ac:dyDescent="0.2">
      <c r="A18" s="7">
        <v>1</v>
      </c>
      <c r="B18" s="13" t="s">
        <v>64</v>
      </c>
      <c r="C18" s="13" t="s">
        <v>63</v>
      </c>
      <c r="D18" s="13" t="s">
        <v>65</v>
      </c>
      <c r="E18" s="14" t="s">
        <v>43</v>
      </c>
      <c r="F18" s="7"/>
    </row>
    <row r="19" spans="1:6" ht="51" x14ac:dyDescent="0.2">
      <c r="A19" s="7">
        <v>2</v>
      </c>
      <c r="B19" s="13" t="s">
        <v>83</v>
      </c>
      <c r="C19" s="13" t="s">
        <v>82</v>
      </c>
      <c r="D19" s="13" t="s">
        <v>84</v>
      </c>
      <c r="E19" s="14" t="s">
        <v>43</v>
      </c>
      <c r="F19" s="7"/>
    </row>
    <row r="20" spans="1:6" ht="51" x14ac:dyDescent="0.2">
      <c r="A20" s="7">
        <v>3</v>
      </c>
      <c r="B20" s="13" t="s">
        <v>87</v>
      </c>
      <c r="C20" s="13" t="s">
        <v>82</v>
      </c>
      <c r="D20" s="13" t="s">
        <v>88</v>
      </c>
      <c r="E20" s="14" t="s">
        <v>43</v>
      </c>
      <c r="F20" s="7"/>
    </row>
    <row r="21" spans="1:6" ht="17" x14ac:dyDescent="0.2">
      <c r="A21" s="7">
        <v>4</v>
      </c>
      <c r="B21" s="13" t="s">
        <v>40</v>
      </c>
      <c r="C21" s="13" t="s">
        <v>39</v>
      </c>
      <c r="D21" s="13" t="s">
        <v>41</v>
      </c>
      <c r="E21" s="14" t="s">
        <v>43</v>
      </c>
      <c r="F21" s="7"/>
    </row>
    <row r="22" spans="1:6" ht="17" x14ac:dyDescent="0.2">
      <c r="A22" s="7">
        <v>5</v>
      </c>
      <c r="B22" s="13" t="s">
        <v>104</v>
      </c>
      <c r="C22" s="13" t="s">
        <v>103</v>
      </c>
      <c r="D22" s="13" t="s">
        <v>105</v>
      </c>
      <c r="E22" s="14" t="s">
        <v>43</v>
      </c>
      <c r="F22" s="7"/>
    </row>
    <row r="23" spans="1:6" ht="17" x14ac:dyDescent="0.2">
      <c r="A23" s="7">
        <v>6</v>
      </c>
      <c r="B23" s="13" t="s">
        <v>70</v>
      </c>
      <c r="C23" s="13" t="s">
        <v>69</v>
      </c>
      <c r="D23" s="13" t="s">
        <v>71</v>
      </c>
      <c r="E23" s="14" t="s">
        <v>43</v>
      </c>
      <c r="F23" s="7"/>
    </row>
    <row r="24" spans="1:6" ht="34" x14ac:dyDescent="0.2">
      <c r="A24" s="7">
        <v>7</v>
      </c>
      <c r="B24" s="13" t="s">
        <v>26</v>
      </c>
      <c r="C24" s="13" t="s">
        <v>25</v>
      </c>
      <c r="D24" s="13" t="s">
        <v>27</v>
      </c>
      <c r="E24" s="14" t="s">
        <v>29</v>
      </c>
      <c r="F24" s="7"/>
    </row>
    <row r="26" spans="1:6" ht="21.75" customHeight="1" x14ac:dyDescent="0.2">
      <c r="A26" s="3" t="s">
        <v>303</v>
      </c>
      <c r="B26" s="3"/>
      <c r="C26" s="3"/>
      <c r="D26" s="3"/>
      <c r="E26" s="3"/>
      <c r="F26" s="3"/>
    </row>
    <row r="27" spans="1:6" ht="24" customHeight="1" x14ac:dyDescent="0.2">
      <c r="A27" s="2" t="s">
        <v>304</v>
      </c>
      <c r="B27" s="2"/>
      <c r="C27" s="2"/>
      <c r="D27" s="2"/>
      <c r="E27" s="2"/>
      <c r="F27" s="2"/>
    </row>
    <row r="28" spans="1:6" x14ac:dyDescent="0.2">
      <c r="A28" s="10" t="s">
        <v>298</v>
      </c>
      <c r="B28" s="10" t="s">
        <v>3</v>
      </c>
      <c r="C28" s="10" t="s">
        <v>299</v>
      </c>
      <c r="D28" s="10" t="s">
        <v>4</v>
      </c>
      <c r="E28" s="10" t="s">
        <v>8</v>
      </c>
      <c r="F28" s="10" t="s">
        <v>300</v>
      </c>
    </row>
    <row r="29" spans="1:6" ht="17" x14ac:dyDescent="0.2">
      <c r="A29" s="7">
        <v>1</v>
      </c>
      <c r="B29" s="13" t="s">
        <v>47</v>
      </c>
      <c r="C29" s="13" t="s">
        <v>46</v>
      </c>
      <c r="D29" s="13" t="s">
        <v>48</v>
      </c>
      <c r="E29" s="14" t="s">
        <v>43</v>
      </c>
      <c r="F29" s="7"/>
    </row>
    <row r="30" spans="1:6" ht="17" x14ac:dyDescent="0.2">
      <c r="A30" s="7">
        <v>2</v>
      </c>
      <c r="B30" s="13" t="s">
        <v>58</v>
      </c>
      <c r="C30" s="13" t="s">
        <v>57</v>
      </c>
      <c r="D30" s="13" t="s">
        <v>59</v>
      </c>
      <c r="E30" s="14" t="s">
        <v>29</v>
      </c>
      <c r="F30" s="7"/>
    </row>
    <row r="31" spans="1:6" ht="17" x14ac:dyDescent="0.2">
      <c r="A31" s="7">
        <v>3</v>
      </c>
      <c r="B31" s="13" t="s">
        <v>78</v>
      </c>
      <c r="C31" s="13" t="s">
        <v>77</v>
      </c>
      <c r="D31" s="13" t="s">
        <v>79</v>
      </c>
      <c r="E31" s="15" t="s">
        <v>36</v>
      </c>
      <c r="F31" s="7"/>
    </row>
    <row r="32" spans="1:6" ht="16" x14ac:dyDescent="0.2">
      <c r="B32" s="16"/>
      <c r="C32" s="16"/>
      <c r="D32" s="16"/>
      <c r="E32" s="16"/>
    </row>
    <row r="33" spans="1:6" ht="21.75" customHeight="1" x14ac:dyDescent="0.2">
      <c r="A33" s="3" t="s">
        <v>305</v>
      </c>
      <c r="B33" s="3"/>
      <c r="C33" s="3"/>
      <c r="D33" s="3"/>
      <c r="E33" s="3"/>
      <c r="F33" s="3"/>
    </row>
    <row r="34" spans="1:6" ht="24" customHeight="1" x14ac:dyDescent="0.2">
      <c r="A34" s="2" t="s">
        <v>306</v>
      </c>
      <c r="B34" s="2"/>
      <c r="C34" s="2"/>
      <c r="D34" s="2"/>
      <c r="E34" s="2"/>
      <c r="F34" s="2"/>
    </row>
    <row r="35" spans="1:6" x14ac:dyDescent="0.2">
      <c r="A35" s="10" t="s">
        <v>298</v>
      </c>
      <c r="B35" s="10" t="s">
        <v>3</v>
      </c>
      <c r="C35" s="10" t="s">
        <v>299</v>
      </c>
      <c r="D35" s="10" t="s">
        <v>4</v>
      </c>
      <c r="E35" s="10" t="s">
        <v>8</v>
      </c>
      <c r="F35" s="10" t="s">
        <v>300</v>
      </c>
    </row>
    <row r="36" spans="1:6" ht="17" x14ac:dyDescent="0.2">
      <c r="A36" s="13">
        <v>1</v>
      </c>
      <c r="B36" s="13" t="s">
        <v>182</v>
      </c>
      <c r="C36" s="13" t="s">
        <v>181</v>
      </c>
      <c r="D36" s="13" t="s">
        <v>183</v>
      </c>
      <c r="E36" s="15" t="s">
        <v>36</v>
      </c>
      <c r="F36" s="7"/>
    </row>
    <row r="37" spans="1:6" ht="17" x14ac:dyDescent="0.2">
      <c r="A37" s="13">
        <v>2</v>
      </c>
      <c r="B37" s="13" t="s">
        <v>187</v>
      </c>
      <c r="C37" s="13" t="s">
        <v>186</v>
      </c>
      <c r="D37" s="13" t="s">
        <v>183</v>
      </c>
      <c r="E37" s="15" t="s">
        <v>36</v>
      </c>
      <c r="F37" s="7"/>
    </row>
    <row r="38" spans="1:6" ht="34" x14ac:dyDescent="0.2">
      <c r="A38" s="13">
        <v>3</v>
      </c>
      <c r="B38" s="13" t="s">
        <v>147</v>
      </c>
      <c r="C38" s="13" t="s">
        <v>146</v>
      </c>
      <c r="D38" s="13" t="s">
        <v>148</v>
      </c>
      <c r="E38" s="15" t="s">
        <v>36</v>
      </c>
      <c r="F38" s="7"/>
    </row>
    <row r="39" spans="1:6" ht="17" x14ac:dyDescent="0.2">
      <c r="A39" s="13">
        <v>4</v>
      </c>
      <c r="B39" s="13" t="s">
        <v>163</v>
      </c>
      <c r="C39" s="13" t="s">
        <v>162</v>
      </c>
      <c r="D39" s="13" t="s">
        <v>164</v>
      </c>
      <c r="E39" s="15" t="s">
        <v>36</v>
      </c>
      <c r="F39" s="7"/>
    </row>
    <row r="40" spans="1:6" ht="17" x14ac:dyDescent="0.2">
      <c r="A40" s="13">
        <v>5</v>
      </c>
      <c r="B40" s="13" t="s">
        <v>167</v>
      </c>
      <c r="C40" s="13" t="s">
        <v>162</v>
      </c>
      <c r="D40" s="13" t="s">
        <v>164</v>
      </c>
      <c r="E40" s="15" t="s">
        <v>36</v>
      </c>
      <c r="F40" s="7"/>
    </row>
    <row r="41" spans="1:6" ht="17" x14ac:dyDescent="0.2">
      <c r="A41" s="13">
        <v>6</v>
      </c>
      <c r="B41" s="13" t="s">
        <v>152</v>
      </c>
      <c r="C41" s="13" t="s">
        <v>151</v>
      </c>
      <c r="D41" s="13" t="s">
        <v>153</v>
      </c>
      <c r="E41" s="15" t="s">
        <v>36</v>
      </c>
      <c r="F41" s="7"/>
    </row>
    <row r="42" spans="1:6" ht="17" x14ac:dyDescent="0.2">
      <c r="A42" s="13">
        <v>7</v>
      </c>
      <c r="B42" s="13" t="s">
        <v>227</v>
      </c>
      <c r="C42" s="13" t="s">
        <v>226</v>
      </c>
      <c r="D42" s="13" t="s">
        <v>228</v>
      </c>
      <c r="E42" s="15" t="s">
        <v>36</v>
      </c>
      <c r="F42" s="7"/>
    </row>
    <row r="43" spans="1:6" ht="17" x14ac:dyDescent="0.2">
      <c r="A43" s="13">
        <v>8</v>
      </c>
      <c r="B43" s="13" t="s">
        <v>157</v>
      </c>
      <c r="C43" s="13" t="s">
        <v>156</v>
      </c>
      <c r="D43" s="13" t="s">
        <v>158</v>
      </c>
      <c r="E43" s="14" t="s">
        <v>29</v>
      </c>
      <c r="F43" s="7"/>
    </row>
    <row r="44" spans="1:6" ht="17" x14ac:dyDescent="0.2">
      <c r="A44" s="13">
        <v>9</v>
      </c>
      <c r="B44" s="13" t="s">
        <v>191</v>
      </c>
      <c r="C44" s="13" t="s">
        <v>307</v>
      </c>
      <c r="D44" s="13" t="s">
        <v>308</v>
      </c>
      <c r="E44" s="17" t="s">
        <v>20</v>
      </c>
      <c r="F44" s="7"/>
    </row>
    <row r="45" spans="1:6" ht="17" x14ac:dyDescent="0.2">
      <c r="A45" s="13">
        <v>10</v>
      </c>
      <c r="B45" s="13" t="s">
        <v>194</v>
      </c>
      <c r="C45" s="13" t="s">
        <v>307</v>
      </c>
      <c r="D45" s="13" t="s">
        <v>308</v>
      </c>
      <c r="E45" s="17" t="s">
        <v>20</v>
      </c>
      <c r="F45" s="7"/>
    </row>
    <row r="47" spans="1:6" ht="21.75" customHeight="1" x14ac:dyDescent="0.2">
      <c r="A47" s="3" t="s">
        <v>309</v>
      </c>
      <c r="B47" s="3"/>
      <c r="C47" s="3"/>
      <c r="D47" s="3"/>
      <c r="E47" s="3"/>
      <c r="F47" s="3"/>
    </row>
    <row r="48" spans="1:6" ht="24" customHeight="1" x14ac:dyDescent="0.2">
      <c r="A48" s="2" t="s">
        <v>310</v>
      </c>
      <c r="B48" s="2"/>
      <c r="C48" s="2"/>
      <c r="D48" s="2"/>
      <c r="E48" s="2"/>
      <c r="F48" s="2"/>
    </row>
    <row r="49" spans="1:6" x14ac:dyDescent="0.2">
      <c r="A49" s="10" t="s">
        <v>298</v>
      </c>
      <c r="B49" s="10" t="s">
        <v>3</v>
      </c>
      <c r="C49" s="10" t="s">
        <v>299</v>
      </c>
      <c r="D49" s="10" t="s">
        <v>4</v>
      </c>
      <c r="E49" s="10" t="s">
        <v>8</v>
      </c>
      <c r="F49" s="10" t="s">
        <v>300</v>
      </c>
    </row>
    <row r="50" spans="1:6" ht="17" x14ac:dyDescent="0.2">
      <c r="A50" s="13">
        <v>1</v>
      </c>
      <c r="B50" s="13" t="s">
        <v>215</v>
      </c>
      <c r="C50" s="13" t="s">
        <v>214</v>
      </c>
      <c r="D50" s="13" t="s">
        <v>216</v>
      </c>
      <c r="E50" s="15" t="s">
        <v>36</v>
      </c>
      <c r="F50" s="7"/>
    </row>
    <row r="51" spans="1:6" ht="17" x14ac:dyDescent="0.2">
      <c r="A51" s="13">
        <v>2</v>
      </c>
      <c r="B51" s="13" t="s">
        <v>209</v>
      </c>
      <c r="C51" s="13" t="s">
        <v>208</v>
      </c>
      <c r="D51" s="13" t="s">
        <v>210</v>
      </c>
      <c r="E51" s="15" t="s">
        <v>36</v>
      </c>
      <c r="F51" s="7"/>
    </row>
    <row r="52" spans="1:6" ht="17" x14ac:dyDescent="0.2">
      <c r="A52" s="13">
        <v>3</v>
      </c>
      <c r="B52" s="13" t="s">
        <v>204</v>
      </c>
      <c r="C52" s="13" t="s">
        <v>203</v>
      </c>
      <c r="D52" s="13" t="s">
        <v>205</v>
      </c>
      <c r="E52" s="15" t="s">
        <v>36</v>
      </c>
      <c r="F52" s="7"/>
    </row>
    <row r="53" spans="1:6" ht="17" x14ac:dyDescent="0.2">
      <c r="A53" s="13">
        <v>4</v>
      </c>
      <c r="B53" s="13" t="s">
        <v>199</v>
      </c>
      <c r="C53" s="13" t="s">
        <v>198</v>
      </c>
      <c r="D53" s="13" t="s">
        <v>200</v>
      </c>
      <c r="E53" s="15" t="s">
        <v>36</v>
      </c>
      <c r="F53" s="7"/>
    </row>
    <row r="54" spans="1:6" ht="17" x14ac:dyDescent="0.2">
      <c r="A54" s="13">
        <v>5</v>
      </c>
      <c r="B54" s="13" t="s">
        <v>171</v>
      </c>
      <c r="C54" s="13" t="s">
        <v>307</v>
      </c>
      <c r="D54" s="13" t="s">
        <v>308</v>
      </c>
      <c r="E54" s="17" t="s">
        <v>20</v>
      </c>
      <c r="F54" s="7"/>
    </row>
    <row r="55" spans="1:6" ht="17" x14ac:dyDescent="0.2">
      <c r="A55" s="13">
        <v>6</v>
      </c>
      <c r="B55" s="13" t="s">
        <v>250</v>
      </c>
      <c r="C55" s="13" t="s">
        <v>307</v>
      </c>
      <c r="D55" s="13" t="s">
        <v>308</v>
      </c>
      <c r="E55" s="17" t="s">
        <v>20</v>
      </c>
      <c r="F55" s="7"/>
    </row>
    <row r="56" spans="1:6" ht="16" x14ac:dyDescent="0.2">
      <c r="A56" s="16"/>
      <c r="B56" s="16"/>
      <c r="C56" s="16"/>
      <c r="D56" s="16"/>
      <c r="E56" s="16"/>
    </row>
    <row r="57" spans="1:6" ht="21.75" customHeight="1" x14ac:dyDescent="0.2">
      <c r="A57" s="3" t="s">
        <v>311</v>
      </c>
      <c r="B57" s="3"/>
      <c r="C57" s="3"/>
      <c r="D57" s="3"/>
      <c r="E57" s="3"/>
      <c r="F57" s="3"/>
    </row>
    <row r="58" spans="1:6" ht="24" customHeight="1" x14ac:dyDescent="0.2">
      <c r="A58" s="2" t="s">
        <v>312</v>
      </c>
      <c r="B58" s="2"/>
      <c r="C58" s="2"/>
      <c r="D58" s="2"/>
      <c r="E58" s="2"/>
      <c r="F58" s="2"/>
    </row>
    <row r="59" spans="1:6" x14ac:dyDescent="0.2">
      <c r="A59" s="10" t="s">
        <v>298</v>
      </c>
      <c r="B59" s="10" t="s">
        <v>3</v>
      </c>
      <c r="C59" s="10" t="s">
        <v>299</v>
      </c>
      <c r="D59" s="10" t="s">
        <v>4</v>
      </c>
      <c r="E59" s="10" t="s">
        <v>8</v>
      </c>
      <c r="F59" s="10" t="s">
        <v>300</v>
      </c>
    </row>
    <row r="60" spans="1:6" ht="17" x14ac:dyDescent="0.2">
      <c r="A60" s="13">
        <v>1</v>
      </c>
      <c r="B60" s="13" t="s">
        <v>130</v>
      </c>
      <c r="C60" s="13" t="s">
        <v>129</v>
      </c>
      <c r="D60" s="13" t="s">
        <v>131</v>
      </c>
      <c r="E60" s="15" t="s">
        <v>36</v>
      </c>
      <c r="F60" s="7"/>
    </row>
    <row r="61" spans="1:6" ht="17" x14ac:dyDescent="0.2">
      <c r="A61" s="13">
        <v>2</v>
      </c>
      <c r="B61" s="13" t="s">
        <v>125</v>
      </c>
      <c r="C61" s="13" t="s">
        <v>124</v>
      </c>
      <c r="D61" s="13" t="s">
        <v>126</v>
      </c>
      <c r="E61" s="15" t="s">
        <v>36</v>
      </c>
      <c r="F61" s="7"/>
    </row>
    <row r="62" spans="1:6" ht="34" x14ac:dyDescent="0.2">
      <c r="A62" s="13">
        <v>3</v>
      </c>
      <c r="B62" s="13" t="s">
        <v>119</v>
      </c>
      <c r="C62" s="13" t="s">
        <v>118</v>
      </c>
      <c r="D62" s="13" t="s">
        <v>120</v>
      </c>
      <c r="E62" s="14" t="s">
        <v>29</v>
      </c>
      <c r="F62" s="7"/>
    </row>
    <row r="63" spans="1:6" ht="17" x14ac:dyDescent="0.2">
      <c r="A63" s="13">
        <v>4</v>
      </c>
      <c r="B63" s="13" t="s">
        <v>136</v>
      </c>
      <c r="C63" s="13" t="s">
        <v>135</v>
      </c>
      <c r="D63" s="13" t="s">
        <v>137</v>
      </c>
      <c r="E63" s="15" t="s">
        <v>36</v>
      </c>
      <c r="F63" s="7"/>
    </row>
    <row r="64" spans="1:6" ht="17" x14ac:dyDescent="0.2">
      <c r="A64" s="13">
        <v>5</v>
      </c>
      <c r="B64" s="13" t="s">
        <v>141</v>
      </c>
      <c r="C64" s="13" t="s">
        <v>140</v>
      </c>
      <c r="D64" s="13" t="s">
        <v>142</v>
      </c>
      <c r="E64" s="15" t="s">
        <v>36</v>
      </c>
      <c r="F64" s="7"/>
    </row>
    <row r="65" spans="1:6" ht="16" x14ac:dyDescent="0.2">
      <c r="A65" s="16"/>
      <c r="B65" s="16"/>
      <c r="C65" s="16"/>
      <c r="D65" s="16"/>
      <c r="E65" s="16"/>
    </row>
    <row r="66" spans="1:6" ht="21.75" customHeight="1" x14ac:dyDescent="0.2">
      <c r="A66" s="3" t="s">
        <v>313</v>
      </c>
      <c r="B66" s="3"/>
      <c r="C66" s="3"/>
      <c r="D66" s="3"/>
      <c r="E66" s="3"/>
      <c r="F66" s="3"/>
    </row>
    <row r="67" spans="1:6" ht="24" customHeight="1" x14ac:dyDescent="0.2">
      <c r="A67" s="2" t="s">
        <v>314</v>
      </c>
      <c r="B67" s="2"/>
      <c r="C67" s="2"/>
      <c r="D67" s="2"/>
      <c r="E67" s="2"/>
      <c r="F67" s="2"/>
    </row>
    <row r="68" spans="1:6" x14ac:dyDescent="0.2">
      <c r="A68" s="10" t="s">
        <v>298</v>
      </c>
      <c r="B68" s="10" t="s">
        <v>3</v>
      </c>
      <c r="C68" s="10" t="s">
        <v>299</v>
      </c>
      <c r="D68" s="10" t="s">
        <v>4</v>
      </c>
      <c r="E68" s="10" t="s">
        <v>8</v>
      </c>
      <c r="F68" s="10" t="s">
        <v>300</v>
      </c>
    </row>
    <row r="69" spans="1:6" ht="17" x14ac:dyDescent="0.2">
      <c r="A69" s="13">
        <v>1</v>
      </c>
      <c r="B69" s="13" t="s">
        <v>176</v>
      </c>
      <c r="C69" s="13" t="s">
        <v>175</v>
      </c>
      <c r="D69" s="13" t="s">
        <v>177</v>
      </c>
      <c r="E69" s="15" t="s">
        <v>36</v>
      </c>
      <c r="F69" s="7"/>
    </row>
    <row r="70" spans="1:6" ht="17" x14ac:dyDescent="0.2">
      <c r="A70" s="13">
        <v>2</v>
      </c>
      <c r="B70" s="13" t="s">
        <v>233</v>
      </c>
      <c r="C70" s="13" t="s">
        <v>232</v>
      </c>
      <c r="D70" s="13" t="s">
        <v>234</v>
      </c>
      <c r="E70" s="14" t="s">
        <v>29</v>
      </c>
      <c r="F70" s="7"/>
    </row>
    <row r="71" spans="1:6" ht="17" x14ac:dyDescent="0.2">
      <c r="A71" s="13">
        <v>3</v>
      </c>
      <c r="B71" s="13" t="s">
        <v>221</v>
      </c>
      <c r="C71" s="13" t="s">
        <v>220</v>
      </c>
      <c r="D71" s="13" t="s">
        <v>222</v>
      </c>
      <c r="E71" s="15" t="s">
        <v>36</v>
      </c>
      <c r="F71" s="7"/>
    </row>
    <row r="72" spans="1:6" ht="17" x14ac:dyDescent="0.2">
      <c r="A72" s="13">
        <v>4</v>
      </c>
      <c r="B72" s="13" t="s">
        <v>245</v>
      </c>
      <c r="C72" s="13" t="s">
        <v>244</v>
      </c>
      <c r="D72" s="13" t="s">
        <v>246</v>
      </c>
      <c r="E72" s="15" t="s">
        <v>36</v>
      </c>
      <c r="F72" s="7"/>
    </row>
    <row r="73" spans="1:6" ht="17" x14ac:dyDescent="0.2">
      <c r="A73" s="13">
        <v>5</v>
      </c>
      <c r="B73" s="13" t="s">
        <v>239</v>
      </c>
      <c r="C73" s="13" t="s">
        <v>238</v>
      </c>
      <c r="D73" s="13" t="s">
        <v>240</v>
      </c>
      <c r="E73" s="15" t="s">
        <v>36</v>
      </c>
      <c r="F73" s="7"/>
    </row>
    <row r="75" spans="1:6" ht="21.75" customHeight="1" x14ac:dyDescent="0.2">
      <c r="A75" s="3" t="s">
        <v>315</v>
      </c>
      <c r="B75" s="3"/>
      <c r="C75" s="3"/>
      <c r="D75" s="3"/>
      <c r="E75" s="3"/>
      <c r="F75" s="3"/>
    </row>
    <row r="76" spans="1:6" ht="24" customHeight="1" x14ac:dyDescent="0.2">
      <c r="A76" s="2" t="s">
        <v>316</v>
      </c>
      <c r="B76" s="2"/>
      <c r="C76" s="2"/>
      <c r="D76" s="2"/>
      <c r="E76" s="2"/>
      <c r="F76" s="2"/>
    </row>
    <row r="77" spans="1:6" x14ac:dyDescent="0.2">
      <c r="A77" s="10" t="s">
        <v>298</v>
      </c>
      <c r="B77" s="10" t="s">
        <v>3</v>
      </c>
      <c r="C77" s="10" t="s">
        <v>299</v>
      </c>
      <c r="D77" s="10" t="s">
        <v>4</v>
      </c>
      <c r="E77" s="10" t="s">
        <v>8</v>
      </c>
      <c r="F77" s="10" t="s">
        <v>300</v>
      </c>
    </row>
    <row r="78" spans="1:6" ht="17" x14ac:dyDescent="0.2">
      <c r="A78" s="13">
        <v>1</v>
      </c>
      <c r="B78" s="13" t="s">
        <v>261</v>
      </c>
      <c r="C78" s="13" t="s">
        <v>260</v>
      </c>
      <c r="D78" s="13" t="s">
        <v>262</v>
      </c>
      <c r="E78" s="15" t="s">
        <v>36</v>
      </c>
      <c r="F78" s="7"/>
    </row>
    <row r="79" spans="1:6" ht="17" x14ac:dyDescent="0.2">
      <c r="A79" s="13">
        <v>2</v>
      </c>
      <c r="B79" s="13" t="s">
        <v>255</v>
      </c>
      <c r="C79" s="13" t="s">
        <v>254</v>
      </c>
      <c r="D79" s="13" t="s">
        <v>256</v>
      </c>
      <c r="E79" s="15" t="s">
        <v>36</v>
      </c>
      <c r="F79" s="7"/>
    </row>
    <row r="81" spans="1:6" ht="21.75" customHeight="1" x14ac:dyDescent="0.2">
      <c r="A81" s="3" t="s">
        <v>317</v>
      </c>
      <c r="B81" s="3"/>
      <c r="C81" s="3"/>
      <c r="D81" s="3"/>
      <c r="E81" s="3"/>
      <c r="F81" s="3"/>
    </row>
    <row r="82" spans="1:6" ht="24" customHeight="1" x14ac:dyDescent="0.2">
      <c r="A82" s="2" t="s">
        <v>318</v>
      </c>
      <c r="B82" s="2"/>
      <c r="C82" s="2"/>
      <c r="D82" s="2"/>
      <c r="E82" s="2"/>
      <c r="F82" s="2"/>
    </row>
    <row r="83" spans="1:6" x14ac:dyDescent="0.2">
      <c r="A83" s="10" t="s">
        <v>298</v>
      </c>
      <c r="B83" s="10" t="s">
        <v>3</v>
      </c>
      <c r="C83" s="10" t="s">
        <v>299</v>
      </c>
      <c r="D83" s="10" t="s">
        <v>4</v>
      </c>
      <c r="E83" s="10" t="s">
        <v>8</v>
      </c>
      <c r="F83" s="10" t="s">
        <v>300</v>
      </c>
    </row>
    <row r="84" spans="1:6" ht="17" x14ac:dyDescent="0.2">
      <c r="A84" s="13">
        <v>1</v>
      </c>
      <c r="B84" s="13" t="s">
        <v>290</v>
      </c>
      <c r="C84" s="13" t="s">
        <v>289</v>
      </c>
      <c r="D84" s="13" t="s">
        <v>291</v>
      </c>
      <c r="E84" s="14" t="s">
        <v>43</v>
      </c>
      <c r="F84" s="7"/>
    </row>
    <row r="85" spans="1:6" ht="34" x14ac:dyDescent="0.2">
      <c r="A85" s="13">
        <v>2</v>
      </c>
      <c r="B85" s="13" t="s">
        <v>267</v>
      </c>
      <c r="C85" s="13" t="s">
        <v>266</v>
      </c>
      <c r="D85" s="13" t="s">
        <v>268</v>
      </c>
      <c r="E85" s="14" t="s">
        <v>43</v>
      </c>
      <c r="F85" s="7"/>
    </row>
    <row r="86" spans="1:6" ht="17" x14ac:dyDescent="0.2">
      <c r="A86" s="13">
        <v>3</v>
      </c>
      <c r="B86" s="13" t="s">
        <v>279</v>
      </c>
      <c r="C86" s="13" t="s">
        <v>278</v>
      </c>
      <c r="D86" s="13" t="s">
        <v>228</v>
      </c>
      <c r="E86" s="14" t="s">
        <v>29</v>
      </c>
      <c r="F86" s="7"/>
    </row>
    <row r="87" spans="1:6" ht="17" x14ac:dyDescent="0.2">
      <c r="A87" s="13">
        <v>4</v>
      </c>
      <c r="B87" s="13" t="s">
        <v>284</v>
      </c>
      <c r="C87" s="13" t="s">
        <v>283</v>
      </c>
      <c r="D87" s="13" t="s">
        <v>285</v>
      </c>
      <c r="E87" s="14" t="s">
        <v>29</v>
      </c>
      <c r="F87" s="7"/>
    </row>
    <row r="88" spans="1:6" ht="17" x14ac:dyDescent="0.2">
      <c r="A88" s="13">
        <v>5</v>
      </c>
      <c r="B88" s="13" t="s">
        <v>273</v>
      </c>
      <c r="C88" s="13" t="s">
        <v>272</v>
      </c>
      <c r="D88" s="13" t="s">
        <v>274</v>
      </c>
      <c r="E88" s="14" t="s">
        <v>29</v>
      </c>
      <c r="F88" s="7"/>
    </row>
    <row r="89" spans="1:6" ht="17" x14ac:dyDescent="0.2">
      <c r="A89" s="13">
        <v>6</v>
      </c>
      <c r="B89" s="13" t="s">
        <v>18</v>
      </c>
      <c r="C89" s="13" t="s">
        <v>307</v>
      </c>
      <c r="D89" s="13" t="s">
        <v>308</v>
      </c>
      <c r="E89" s="17" t="s">
        <v>20</v>
      </c>
      <c r="F89" s="7"/>
    </row>
  </sheetData>
  <mergeCells count="20">
    <mergeCell ref="A67:F67"/>
    <mergeCell ref="A75:F75"/>
    <mergeCell ref="A76:F76"/>
    <mergeCell ref="A81:F81"/>
    <mergeCell ref="A82:F82"/>
    <mergeCell ref="A47:F47"/>
    <mergeCell ref="A48:F48"/>
    <mergeCell ref="A57:F57"/>
    <mergeCell ref="A58:F58"/>
    <mergeCell ref="A66:F66"/>
    <mergeCell ref="A16:F16"/>
    <mergeCell ref="A26:F26"/>
    <mergeCell ref="A27:F27"/>
    <mergeCell ref="A33:F33"/>
    <mergeCell ref="A34:F34"/>
    <mergeCell ref="A1:F1"/>
    <mergeCell ref="A2:F2"/>
    <mergeCell ref="A4:F4"/>
    <mergeCell ref="A5:F5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A8" zoomScaleNormal="100" workbookViewId="0">
      <selection activeCell="B13" sqref="B13"/>
    </sheetView>
  </sheetViews>
  <sheetFormatPr baseColWidth="10" defaultColWidth="8.6640625" defaultRowHeight="15" x14ac:dyDescent="0.2"/>
  <cols>
    <col min="1" max="1" width="50" customWidth="1"/>
    <col min="2" max="2" width="12" customWidth="1"/>
  </cols>
  <sheetData>
    <row r="1" spans="1:2" ht="30" customHeight="1" x14ac:dyDescent="0.3">
      <c r="A1" s="11" t="s">
        <v>319</v>
      </c>
    </row>
    <row r="3" spans="1:2" ht="16" x14ac:dyDescent="0.2">
      <c r="A3" s="18" t="s">
        <v>320</v>
      </c>
      <c r="B3" s="19">
        <v>51</v>
      </c>
    </row>
    <row r="4" spans="1:2" ht="16" x14ac:dyDescent="0.2">
      <c r="A4" s="16"/>
      <c r="B4" s="16"/>
    </row>
    <row r="5" spans="1:2" ht="16" x14ac:dyDescent="0.2">
      <c r="A5" s="12" t="s">
        <v>321</v>
      </c>
      <c r="B5" s="16"/>
    </row>
    <row r="6" spans="1:2" ht="16" x14ac:dyDescent="0.2">
      <c r="A6" s="20" t="s">
        <v>322</v>
      </c>
      <c r="B6" s="21">
        <v>9</v>
      </c>
    </row>
    <row r="7" spans="1:2" ht="16" x14ac:dyDescent="0.2">
      <c r="A7" s="20" t="s">
        <v>323</v>
      </c>
      <c r="B7" s="21">
        <v>12</v>
      </c>
    </row>
    <row r="8" spans="1:2" ht="16" x14ac:dyDescent="0.2">
      <c r="A8" s="20" t="s">
        <v>324</v>
      </c>
      <c r="B8" s="22">
        <v>25</v>
      </c>
    </row>
    <row r="9" spans="1:2" ht="16" x14ac:dyDescent="0.2">
      <c r="A9" s="20" t="s">
        <v>325</v>
      </c>
      <c r="B9" s="23">
        <v>5</v>
      </c>
    </row>
    <row r="10" spans="1:2" ht="16" x14ac:dyDescent="0.2">
      <c r="A10" s="18" t="s">
        <v>326</v>
      </c>
      <c r="B10" s="18">
        <f>SUM(B6:B9)</f>
        <v>51</v>
      </c>
    </row>
    <row r="11" spans="1:2" ht="16" x14ac:dyDescent="0.2">
      <c r="A11" s="16"/>
      <c r="B11" s="16"/>
    </row>
    <row r="12" spans="1:2" ht="16" x14ac:dyDescent="0.2">
      <c r="A12" s="12" t="s">
        <v>327</v>
      </c>
      <c r="B12" s="16"/>
    </row>
    <row r="13" spans="1:2" ht="16" x14ac:dyDescent="0.2">
      <c r="A13" s="20" t="s">
        <v>24</v>
      </c>
      <c r="B13" s="20">
        <v>17</v>
      </c>
    </row>
    <row r="14" spans="1:2" ht="16" x14ac:dyDescent="0.2">
      <c r="A14" s="20" t="s">
        <v>145</v>
      </c>
      <c r="B14" s="20">
        <v>5</v>
      </c>
    </row>
    <row r="15" spans="1:2" ht="16" x14ac:dyDescent="0.2">
      <c r="A15" s="20" t="s">
        <v>265</v>
      </c>
      <c r="B15" s="20">
        <v>5</v>
      </c>
    </row>
    <row r="16" spans="1:2" ht="16" x14ac:dyDescent="0.2">
      <c r="A16" s="20" t="s">
        <v>117</v>
      </c>
      <c r="B16" s="20">
        <v>3</v>
      </c>
    </row>
    <row r="17" spans="1:2" ht="16" x14ac:dyDescent="0.2">
      <c r="A17" s="20" t="s">
        <v>197</v>
      </c>
      <c r="B17" s="20">
        <v>3</v>
      </c>
    </row>
    <row r="18" spans="1:2" ht="16" x14ac:dyDescent="0.2">
      <c r="A18" s="20" t="s">
        <v>134</v>
      </c>
      <c r="B18" s="20">
        <v>2</v>
      </c>
    </row>
    <row r="19" spans="1:2" ht="16" x14ac:dyDescent="0.2">
      <c r="A19" s="20" t="s">
        <v>180</v>
      </c>
      <c r="B19" s="20">
        <v>2</v>
      </c>
    </row>
    <row r="20" spans="1:2" ht="16" x14ac:dyDescent="0.2">
      <c r="A20" s="20" t="s">
        <v>190</v>
      </c>
      <c r="B20" s="20">
        <v>2</v>
      </c>
    </row>
    <row r="21" spans="1:2" ht="16" x14ac:dyDescent="0.2">
      <c r="A21" s="20" t="s">
        <v>231</v>
      </c>
      <c r="B21" s="20">
        <v>2</v>
      </c>
    </row>
    <row r="22" spans="1:2" ht="16" x14ac:dyDescent="0.2">
      <c r="A22" s="20" t="s">
        <v>16</v>
      </c>
      <c r="B22" s="20">
        <v>1</v>
      </c>
    </row>
    <row r="23" spans="1:2" ht="16" x14ac:dyDescent="0.2">
      <c r="A23" s="20" t="s">
        <v>170</v>
      </c>
      <c r="B23" s="20">
        <v>1</v>
      </c>
    </row>
    <row r="24" spans="1:2" ht="16" x14ac:dyDescent="0.2">
      <c r="A24" s="20" t="s">
        <v>174</v>
      </c>
      <c r="B24" s="20">
        <v>1</v>
      </c>
    </row>
    <row r="25" spans="1:2" ht="16" x14ac:dyDescent="0.2">
      <c r="A25" s="20" t="s">
        <v>213</v>
      </c>
      <c r="B25" s="20">
        <v>1</v>
      </c>
    </row>
    <row r="26" spans="1:2" ht="16" x14ac:dyDescent="0.2">
      <c r="A26" s="20" t="s">
        <v>219</v>
      </c>
      <c r="B26" s="20">
        <v>1</v>
      </c>
    </row>
    <row r="27" spans="1:2" ht="16" x14ac:dyDescent="0.2">
      <c r="A27" s="20" t="s">
        <v>225</v>
      </c>
      <c r="B27" s="20">
        <v>1</v>
      </c>
    </row>
    <row r="28" spans="1:2" ht="16" x14ac:dyDescent="0.2">
      <c r="A28" s="20" t="s">
        <v>243</v>
      </c>
      <c r="B28" s="20">
        <v>1</v>
      </c>
    </row>
    <row r="29" spans="1:2" ht="16" x14ac:dyDescent="0.2">
      <c r="A29" s="20" t="s">
        <v>249</v>
      </c>
      <c r="B29" s="20">
        <v>1</v>
      </c>
    </row>
    <row r="30" spans="1:2" ht="16" x14ac:dyDescent="0.2">
      <c r="A30" s="20" t="s">
        <v>253</v>
      </c>
      <c r="B30" s="20">
        <v>1</v>
      </c>
    </row>
    <row r="31" spans="1:2" ht="16" x14ac:dyDescent="0.2">
      <c r="A31" s="20" t="s">
        <v>259</v>
      </c>
      <c r="B31" s="20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workbookViewId="0">
      <selection activeCell="B9" sqref="B9"/>
    </sheetView>
  </sheetViews>
  <sheetFormatPr baseColWidth="10" defaultColWidth="8.6640625" defaultRowHeight="15" x14ac:dyDescent="0.2"/>
  <cols>
    <col min="1" max="1" width="24" customWidth="1"/>
    <col min="2" max="2" width="28" customWidth="1"/>
    <col min="3" max="3" width="14" customWidth="1"/>
    <col min="4" max="4" width="22" customWidth="1"/>
    <col min="5" max="5" width="50" customWidth="1"/>
  </cols>
  <sheetData>
    <row r="1" spans="1:5" ht="21" x14ac:dyDescent="0.25">
      <c r="A1" s="1" t="s">
        <v>328</v>
      </c>
      <c r="B1" s="1"/>
      <c r="C1" s="1"/>
      <c r="D1" s="1"/>
      <c r="E1" s="1"/>
    </row>
    <row r="2" spans="1:5" ht="16" x14ac:dyDescent="0.2">
      <c r="A2" s="24" t="s">
        <v>329</v>
      </c>
      <c r="B2" s="24"/>
      <c r="C2" s="24"/>
      <c r="D2" s="24"/>
      <c r="E2" s="24"/>
    </row>
    <row r="3" spans="1:5" ht="16" x14ac:dyDescent="0.2">
      <c r="A3" s="16"/>
      <c r="B3" s="16"/>
      <c r="C3" s="16"/>
      <c r="D3" s="16"/>
      <c r="E3" s="16"/>
    </row>
    <row r="4" spans="1:5" ht="21.75" customHeight="1" x14ac:dyDescent="0.2">
      <c r="A4" s="25" t="s">
        <v>1</v>
      </c>
      <c r="B4" s="25" t="s">
        <v>3</v>
      </c>
      <c r="C4" s="25" t="s">
        <v>5</v>
      </c>
      <c r="D4" s="25" t="s">
        <v>4</v>
      </c>
      <c r="E4" s="25" t="s">
        <v>330</v>
      </c>
    </row>
    <row r="5" spans="1:5" ht="51" x14ac:dyDescent="0.2">
      <c r="A5" s="13" t="s">
        <v>16</v>
      </c>
      <c r="B5" s="13" t="s">
        <v>18</v>
      </c>
      <c r="C5" s="13" t="s">
        <v>19</v>
      </c>
      <c r="D5" s="13" t="s">
        <v>331</v>
      </c>
      <c r="E5" s="13"/>
    </row>
    <row r="6" spans="1:5" ht="51" x14ac:dyDescent="0.2">
      <c r="A6" s="13" t="s">
        <v>170</v>
      </c>
      <c r="B6" s="13" t="s">
        <v>171</v>
      </c>
      <c r="C6" s="13" t="s">
        <v>172</v>
      </c>
      <c r="D6" s="13" t="s">
        <v>331</v>
      </c>
      <c r="E6" s="13"/>
    </row>
    <row r="7" spans="1:5" ht="51" x14ac:dyDescent="0.2">
      <c r="A7" s="13" t="s">
        <v>190</v>
      </c>
      <c r="B7" s="13" t="s">
        <v>191</v>
      </c>
      <c r="C7" s="13" t="s">
        <v>192</v>
      </c>
      <c r="D7" s="13" t="s">
        <v>331</v>
      </c>
      <c r="E7" s="13"/>
    </row>
    <row r="8" spans="1:5" ht="51" x14ac:dyDescent="0.2">
      <c r="A8" s="13" t="s">
        <v>190</v>
      </c>
      <c r="B8" s="13" t="s">
        <v>194</v>
      </c>
      <c r="C8" s="13" t="s">
        <v>195</v>
      </c>
      <c r="D8" s="13" t="s">
        <v>331</v>
      </c>
      <c r="E8" s="13"/>
    </row>
    <row r="9" spans="1:5" ht="51" x14ac:dyDescent="0.2">
      <c r="A9" s="13" t="s">
        <v>249</v>
      </c>
      <c r="B9" s="13" t="s">
        <v>250</v>
      </c>
      <c r="C9" s="13" t="s">
        <v>251</v>
      </c>
      <c r="D9" s="13" t="s">
        <v>331</v>
      </c>
      <c r="E9" s="1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Doctors</vt:lpstr>
      <vt:lpstr>Suburb Routes</vt:lpstr>
      <vt:lpstr>Summary</vt:lpstr>
      <vt:lpstr>Phone 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Luzuko Ndzuta</cp:lastModifiedBy>
  <cp:revision>0</cp:revision>
  <dcterms:created xsi:type="dcterms:W3CDTF">2026-05-14T14:11:48Z</dcterms:created>
  <dcterms:modified xsi:type="dcterms:W3CDTF">2026-05-14T14:45:50Z</dcterms:modified>
  <dc:language>en-US</dc:language>
</cp:coreProperties>
</file>